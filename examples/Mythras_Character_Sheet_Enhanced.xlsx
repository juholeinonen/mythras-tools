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Sheet" sheetId="1" state="visible" r:id="rId1"/>
    <sheet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</font>
    <font>
      <b val="1"/>
      <color rgb="00FFFFFF"/>
      <sz val="14"/>
    </font>
    <font>
      <b val="1"/>
      <color rgb="00FFFFFF"/>
      <sz val="12"/>
    </font>
    <font>
      <i val="1"/>
    </font>
    <font>
      <b val="1"/>
      <color rgb="00C5504B"/>
      <sz val="12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0" pivotButton="0" quotePrefix="0" xfId="0"/>
    <xf numFmtId="0" fontId="5" fillId="5" borderId="0" pivotButton="0" quotePrefix="0" xfId="0"/>
    <xf numFmtId="0" fontId="6" fillId="0" borderId="0" pivotButton="0" quotePrefix="0" xfId="0"/>
    <xf numFmtId="0" fontId="0" fillId="6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6B6B"/>
          <bgColor rgb="00FF6B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8" customWidth="1" min="5" max="5"/>
    <col width="12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3" customWidth="1" min="13" max="13"/>
    <col width="18" customWidth="1" min="14" max="14"/>
    <col width="10" customWidth="1" min="15" max="15"/>
  </cols>
  <sheetData>
    <row r="1">
      <c r="A1" s="1" t="inlineStr">
        <is>
          <t>MYTHRAS CHARACTER CREATION SHEET</t>
        </is>
      </c>
    </row>
    <row r="3">
      <c r="A3" s="2" t="inlineStr">
        <is>
          <t>CHARACTER INFO</t>
        </is>
      </c>
      <c r="D3" s="2" t="inlineStr">
        <is>
          <t>POINT POOLS</t>
        </is>
      </c>
      <c r="N3" s="2" t="inlineStr">
        <is>
          <t>CHARACTERISTICS</t>
        </is>
      </c>
    </row>
    <row r="4">
      <c r="A4" s="3" t="inlineStr">
        <is>
          <t>Name:</t>
        </is>
      </c>
      <c r="D4" t="inlineStr">
        <is>
          <t>Cultural Points:</t>
        </is>
      </c>
      <c r="E4" t="n">
        <v>100</v>
      </c>
      <c r="N4" s="3" t="inlineStr">
        <is>
          <t>STR:</t>
        </is>
      </c>
      <c r="O4" t="n">
        <v>10</v>
      </c>
    </row>
    <row r="5">
      <c r="A5" s="3" t="inlineStr">
        <is>
          <t>Culture:</t>
        </is>
      </c>
      <c r="D5" t="inlineStr">
        <is>
          <t>Career Points:</t>
        </is>
      </c>
      <c r="E5" t="n">
        <v>50</v>
      </c>
      <c r="N5" s="3" t="inlineStr">
        <is>
          <t>CON:</t>
        </is>
      </c>
      <c r="O5" t="n">
        <v>10</v>
      </c>
    </row>
    <row r="6">
      <c r="A6" s="3" t="inlineStr">
        <is>
          <t>Career:</t>
        </is>
      </c>
      <c r="D6" t="inlineStr">
        <is>
          <t>Free Points:</t>
        </is>
      </c>
      <c r="E6" t="n">
        <v>25</v>
      </c>
      <c r="N6" s="3" t="inlineStr">
        <is>
          <t>SIZ:</t>
        </is>
      </c>
      <c r="O6" t="n">
        <v>10</v>
      </c>
    </row>
    <row r="7">
      <c r="A7" s="3" t="inlineStr">
        <is>
          <t>Age:</t>
        </is>
      </c>
      <c r="N7" s="3" t="inlineStr">
        <is>
          <t>DEX:</t>
        </is>
      </c>
      <c r="O7" t="n">
        <v>10</v>
      </c>
    </row>
    <row r="8">
      <c r="D8" s="2" t="inlineStr">
        <is>
          <t>POINTS USED</t>
        </is>
      </c>
      <c r="N8" s="3" t="inlineStr">
        <is>
          <t>INT:</t>
        </is>
      </c>
      <c r="O8" t="n">
        <v>10</v>
      </c>
    </row>
    <row r="9">
      <c r="D9" t="inlineStr">
        <is>
          <t>Cultural Used:</t>
        </is>
      </c>
      <c r="E9">
        <f>SUM(B:B)</f>
        <v/>
      </c>
      <c r="N9" s="3" t="inlineStr">
        <is>
          <t>POW:</t>
        </is>
      </c>
      <c r="O9" t="n">
        <v>10</v>
      </c>
    </row>
    <row r="10">
      <c r="D10" t="inlineStr">
        <is>
          <t>Career Used:</t>
        </is>
      </c>
      <c r="E10">
        <f>SUM(C:C)</f>
        <v/>
      </c>
      <c r="N10" s="3" t="inlineStr">
        <is>
          <t>CHA:</t>
        </is>
      </c>
      <c r="O10" t="n">
        <v>10</v>
      </c>
    </row>
    <row r="11">
      <c r="D11" t="inlineStr">
        <is>
          <t>Free Used:</t>
        </is>
      </c>
      <c r="E11">
        <f>SUM(K:K)</f>
        <v/>
      </c>
    </row>
    <row r="13">
      <c r="D13" s="2" t="inlineStr">
        <is>
          <t>REMAINING</t>
        </is>
      </c>
    </row>
    <row r="14">
      <c r="D14" t="inlineStr">
        <is>
          <t>Cultural Left:</t>
        </is>
      </c>
      <c r="E14">
        <f>E4-E9</f>
        <v/>
      </c>
    </row>
    <row r="15">
      <c r="D15" t="inlineStr">
        <is>
          <t>Career Left:</t>
        </is>
      </c>
      <c r="E15">
        <f>E5-E10</f>
        <v/>
      </c>
    </row>
    <row r="16">
      <c r="D16" t="inlineStr">
        <is>
          <t>Free Left:</t>
        </is>
      </c>
      <c r="E16">
        <f>E6-E11</f>
        <v/>
      </c>
    </row>
    <row r="18">
      <c r="A18" s="4" t="inlineStr">
        <is>
          <t>SKILL</t>
        </is>
      </c>
      <c r="B18" s="4" t="inlineStr">
        <is>
          <t>CULTURAL</t>
        </is>
      </c>
      <c r="C18" s="4" t="inlineStr">
        <is>
          <t>CAREER</t>
        </is>
      </c>
      <c r="D18" s="4" t="inlineStr">
        <is>
          <t>CHAR 1</t>
        </is>
      </c>
      <c r="E18" s="4" t="inlineStr">
        <is>
          <t>VAL 1</t>
        </is>
      </c>
      <c r="F18" s="4" t="inlineStr">
        <is>
          <t>CHAR 2</t>
        </is>
      </c>
      <c r="G18" s="4" t="inlineStr">
        <is>
          <t>VAL 2</t>
        </is>
      </c>
      <c r="H18" s="4" t="inlineStr">
        <is>
          <t>BASE</t>
        </is>
      </c>
      <c r="I18" s="4" t="inlineStr">
        <is>
          <t>CULT PTS</t>
        </is>
      </c>
      <c r="J18" s="4" t="inlineStr">
        <is>
          <t>CAREER PTS</t>
        </is>
      </c>
      <c r="K18" s="4" t="inlineStr">
        <is>
          <t>FREE PTS</t>
        </is>
      </c>
      <c r="L18" s="4" t="inlineStr">
        <is>
          <t>TOTAL</t>
        </is>
      </c>
    </row>
    <row r="20">
      <c r="A20" s="5" t="inlineStr">
        <is>
          <t>STANDARD SKILLS</t>
        </is>
      </c>
    </row>
    <row r="21">
      <c r="A21" t="inlineStr">
        <is>
          <t>Athletics</t>
        </is>
      </c>
      <c r="D21" t="inlineStr">
        <is>
          <t>STR</t>
        </is>
      </c>
      <c r="E21">
        <f>O4</f>
        <v/>
      </c>
      <c r="F21" t="inlineStr">
        <is>
          <t>DEX</t>
        </is>
      </c>
      <c r="G21">
        <f>O7</f>
        <v/>
      </c>
      <c r="H21">
        <f>O4+O7</f>
        <v/>
      </c>
      <c r="I21" t="n">
        <v>0</v>
      </c>
      <c r="J21" t="n">
        <v>0</v>
      </c>
      <c r="K21" t="n">
        <v>0</v>
      </c>
      <c r="L21">
        <f>H21+I21+J21+K21</f>
        <v/>
      </c>
    </row>
    <row r="22">
      <c r="A22" t="inlineStr">
        <is>
          <t>Boating</t>
        </is>
      </c>
      <c r="D22" t="inlineStr">
        <is>
          <t>STR</t>
        </is>
      </c>
      <c r="E22">
        <f>O4</f>
        <v/>
      </c>
      <c r="F22" t="inlineStr">
        <is>
          <t>CON</t>
        </is>
      </c>
      <c r="G22">
        <f>O5</f>
        <v/>
      </c>
      <c r="H22">
        <f>O4+O5</f>
        <v/>
      </c>
      <c r="I22" t="n">
        <v>0</v>
      </c>
      <c r="J22" t="n">
        <v>0</v>
      </c>
      <c r="K22" t="n">
        <v>0</v>
      </c>
      <c r="L22">
        <f>H22+I22+J22+K22</f>
        <v/>
      </c>
    </row>
    <row r="23">
      <c r="A23" t="inlineStr">
        <is>
          <t>Brawn</t>
        </is>
      </c>
      <c r="D23" t="inlineStr">
        <is>
          <t>STR</t>
        </is>
      </c>
      <c r="E23">
        <f>O4</f>
        <v/>
      </c>
      <c r="F23" t="inlineStr">
        <is>
          <t>SIZ</t>
        </is>
      </c>
      <c r="G23">
        <f>O6</f>
        <v/>
      </c>
      <c r="H23">
        <f>O4+O6</f>
        <v/>
      </c>
      <c r="I23" t="n">
        <v>0</v>
      </c>
      <c r="J23" t="n">
        <v>0</v>
      </c>
      <c r="K23" t="n">
        <v>0</v>
      </c>
      <c r="L23">
        <f>H23+I23+J23+K23</f>
        <v/>
      </c>
    </row>
    <row r="24">
      <c r="A24" t="inlineStr">
        <is>
          <t>Conceal</t>
        </is>
      </c>
      <c r="D24" t="inlineStr">
        <is>
          <t>DEX</t>
        </is>
      </c>
      <c r="E24">
        <f>O7</f>
        <v/>
      </c>
      <c r="F24" t="inlineStr">
        <is>
          <t>POW</t>
        </is>
      </c>
      <c r="G24">
        <f>O9</f>
        <v/>
      </c>
      <c r="H24">
        <f>O7+O9</f>
        <v/>
      </c>
      <c r="I24" t="n">
        <v>0</v>
      </c>
      <c r="J24" t="n">
        <v>0</v>
      </c>
      <c r="K24" t="n">
        <v>0</v>
      </c>
      <c r="L24">
        <f>H24+I24+J24+K24</f>
        <v/>
      </c>
    </row>
    <row r="25">
      <c r="A25" t="inlineStr">
        <is>
          <t>Customs</t>
        </is>
      </c>
      <c r="D25" t="inlineStr">
        <is>
          <t>INT</t>
        </is>
      </c>
      <c r="E25">
        <f>O8</f>
        <v/>
      </c>
      <c r="F25" t="inlineStr"/>
      <c r="G25" t="inlineStr"/>
      <c r="H25">
        <f>O8*2+40</f>
        <v/>
      </c>
      <c r="I25" t="n">
        <v>0</v>
      </c>
      <c r="J25" t="n">
        <v>0</v>
      </c>
      <c r="K25" t="n">
        <v>0</v>
      </c>
      <c r="L25">
        <f>H25+I25+J25+K25</f>
        <v/>
      </c>
    </row>
    <row r="26">
      <c r="A26" t="inlineStr">
        <is>
          <t>Dance</t>
        </is>
      </c>
      <c r="D26" t="inlineStr">
        <is>
          <t>DEX</t>
        </is>
      </c>
      <c r="E26">
        <f>O7</f>
        <v/>
      </c>
      <c r="F26" t="inlineStr">
        <is>
          <t>CHA</t>
        </is>
      </c>
      <c r="G26">
        <f>O10</f>
        <v/>
      </c>
      <c r="H26">
        <f>O7+O10</f>
        <v/>
      </c>
      <c r="I26" t="n">
        <v>0</v>
      </c>
      <c r="J26" t="n">
        <v>0</v>
      </c>
      <c r="K26" t="n">
        <v>0</v>
      </c>
      <c r="L26">
        <f>H26+I26+J26+K26</f>
        <v/>
      </c>
    </row>
    <row r="27">
      <c r="A27" t="inlineStr">
        <is>
          <t>Deceit</t>
        </is>
      </c>
      <c r="D27" t="inlineStr">
        <is>
          <t>INT</t>
        </is>
      </c>
      <c r="E27">
        <f>O8</f>
        <v/>
      </c>
      <c r="F27" t="inlineStr">
        <is>
          <t>CHA</t>
        </is>
      </c>
      <c r="G27">
        <f>O10</f>
        <v/>
      </c>
      <c r="H27">
        <f>O8+O10</f>
        <v/>
      </c>
      <c r="I27" t="n">
        <v>0</v>
      </c>
      <c r="J27" t="n">
        <v>0</v>
      </c>
      <c r="K27" t="n">
        <v>0</v>
      </c>
      <c r="L27">
        <f>H27+I27+J27+K27</f>
        <v/>
      </c>
    </row>
    <row r="28">
      <c r="A28" t="inlineStr">
        <is>
          <t>Drive</t>
        </is>
      </c>
      <c r="D28" t="inlineStr">
        <is>
          <t>DEX</t>
        </is>
      </c>
      <c r="E28">
        <f>O7</f>
        <v/>
      </c>
      <c r="F28" t="inlineStr">
        <is>
          <t>POW</t>
        </is>
      </c>
      <c r="G28">
        <f>O9</f>
        <v/>
      </c>
      <c r="H28">
        <f>O7+O9</f>
        <v/>
      </c>
      <c r="I28" t="n">
        <v>0</v>
      </c>
      <c r="J28" t="n">
        <v>0</v>
      </c>
      <c r="K28" t="n">
        <v>0</v>
      </c>
      <c r="L28">
        <f>H28+I28+J28+K28</f>
        <v/>
      </c>
    </row>
    <row r="29">
      <c r="A29" t="inlineStr">
        <is>
          <t>Endurance</t>
        </is>
      </c>
      <c r="D29" t="inlineStr">
        <is>
          <t>CON</t>
        </is>
      </c>
      <c r="E29">
        <f>O5</f>
        <v/>
      </c>
      <c r="F29" t="inlineStr">
        <is>
          <t>CON</t>
        </is>
      </c>
      <c r="G29">
        <f>O5</f>
        <v/>
      </c>
      <c r="H29">
        <f>O5*2</f>
        <v/>
      </c>
      <c r="I29" t="n">
        <v>0</v>
      </c>
      <c r="J29" t="n">
        <v>0</v>
      </c>
      <c r="K29" t="n">
        <v>0</v>
      </c>
      <c r="L29">
        <f>H29+I29+J29+K29</f>
        <v/>
      </c>
    </row>
    <row r="30">
      <c r="A30" t="inlineStr">
        <is>
          <t>Evade</t>
        </is>
      </c>
      <c r="D30" t="inlineStr">
        <is>
          <t>DEX</t>
        </is>
      </c>
      <c r="E30">
        <f>O7</f>
        <v/>
      </c>
      <c r="F30" t="inlineStr">
        <is>
          <t>DEX</t>
        </is>
      </c>
      <c r="G30">
        <f>O7</f>
        <v/>
      </c>
      <c r="H30">
        <f>O7*2</f>
        <v/>
      </c>
      <c r="I30" t="n">
        <v>0</v>
      </c>
      <c r="J30" t="n">
        <v>0</v>
      </c>
      <c r="K30" t="n">
        <v>0</v>
      </c>
      <c r="L30">
        <f>H30+I30+J30+K30</f>
        <v/>
      </c>
    </row>
    <row r="31">
      <c r="A31" t="inlineStr">
        <is>
          <t>First Aid</t>
        </is>
      </c>
      <c r="D31" t="inlineStr">
        <is>
          <t>INT</t>
        </is>
      </c>
      <c r="E31">
        <f>O8</f>
        <v/>
      </c>
      <c r="F31" t="inlineStr">
        <is>
          <t>DEX</t>
        </is>
      </c>
      <c r="G31">
        <f>O7</f>
        <v/>
      </c>
      <c r="H31">
        <f>O8+O7</f>
        <v/>
      </c>
      <c r="I31" t="n">
        <v>0</v>
      </c>
      <c r="J31" t="n">
        <v>0</v>
      </c>
      <c r="K31" t="n">
        <v>0</v>
      </c>
      <c r="L31">
        <f>H31+I31+J31+K31</f>
        <v/>
      </c>
    </row>
    <row r="32">
      <c r="A32" t="inlineStr">
        <is>
          <t>Influence</t>
        </is>
      </c>
      <c r="D32" t="inlineStr">
        <is>
          <t>CHA</t>
        </is>
      </c>
      <c r="E32">
        <f>O10</f>
        <v/>
      </c>
      <c r="F32" t="inlineStr">
        <is>
          <t>CHA</t>
        </is>
      </c>
      <c r="G32">
        <f>O10</f>
        <v/>
      </c>
      <c r="H32">
        <f>O10*2</f>
        <v/>
      </c>
      <c r="I32" t="n">
        <v>0</v>
      </c>
      <c r="J32" t="n">
        <v>0</v>
      </c>
      <c r="K32" t="n">
        <v>0</v>
      </c>
      <c r="L32">
        <f>H32+I32+J32+K32</f>
        <v/>
      </c>
    </row>
    <row r="33">
      <c r="A33" t="inlineStr">
        <is>
          <t>Insight</t>
        </is>
      </c>
      <c r="D33" t="inlineStr">
        <is>
          <t>INT</t>
        </is>
      </c>
      <c r="E33">
        <f>O8</f>
        <v/>
      </c>
      <c r="F33" t="inlineStr">
        <is>
          <t>POW</t>
        </is>
      </c>
      <c r="G33">
        <f>O9</f>
        <v/>
      </c>
      <c r="H33">
        <f>O8+O9</f>
        <v/>
      </c>
      <c r="I33" t="n">
        <v>0</v>
      </c>
      <c r="J33" t="n">
        <v>0</v>
      </c>
      <c r="K33" t="n">
        <v>0</v>
      </c>
      <c r="L33">
        <f>H33+I33+J33+K33</f>
        <v/>
      </c>
    </row>
    <row r="34">
      <c r="A34" t="inlineStr">
        <is>
          <t>Locale</t>
        </is>
      </c>
      <c r="D34" t="inlineStr">
        <is>
          <t>INT</t>
        </is>
      </c>
      <c r="E34">
        <f>O8</f>
        <v/>
      </c>
      <c r="F34" t="inlineStr">
        <is>
          <t>INT</t>
        </is>
      </c>
      <c r="G34">
        <f>O8</f>
        <v/>
      </c>
      <c r="H34">
        <f>O8*2</f>
        <v/>
      </c>
      <c r="I34" t="n">
        <v>0</v>
      </c>
      <c r="J34" t="n">
        <v>0</v>
      </c>
      <c r="K34" t="n">
        <v>0</v>
      </c>
      <c r="L34">
        <f>H34+I34+J34+K34</f>
        <v/>
      </c>
    </row>
    <row r="35">
      <c r="A35" t="inlineStr">
        <is>
          <t>Native Tongue</t>
        </is>
      </c>
      <c r="D35" t="inlineStr">
        <is>
          <t>INT</t>
        </is>
      </c>
      <c r="E35">
        <f>O8</f>
        <v/>
      </c>
      <c r="F35" t="inlineStr">
        <is>
          <t>CHA</t>
        </is>
      </c>
      <c r="G35">
        <f>O10</f>
        <v/>
      </c>
      <c r="H35">
        <f>O8+O10+40</f>
        <v/>
      </c>
      <c r="I35" t="n">
        <v>0</v>
      </c>
      <c r="J35" t="n">
        <v>0</v>
      </c>
      <c r="K35" t="n">
        <v>0</v>
      </c>
      <c r="L35">
        <f>H35+I35+J35+K35</f>
        <v/>
      </c>
    </row>
    <row r="36">
      <c r="A36" t="inlineStr">
        <is>
          <t>Perception</t>
        </is>
      </c>
      <c r="D36" t="inlineStr">
        <is>
          <t>INT</t>
        </is>
      </c>
      <c r="E36">
        <f>O8</f>
        <v/>
      </c>
      <c r="F36" t="inlineStr">
        <is>
          <t>POW</t>
        </is>
      </c>
      <c r="G36">
        <f>O9</f>
        <v/>
      </c>
      <c r="H36">
        <f>O8+O9</f>
        <v/>
      </c>
      <c r="I36" t="n">
        <v>0</v>
      </c>
      <c r="J36" t="n">
        <v>0</v>
      </c>
      <c r="K36" t="n">
        <v>0</v>
      </c>
      <c r="L36">
        <f>H36+I36+J36+K36</f>
        <v/>
      </c>
    </row>
    <row r="37">
      <c r="A37" t="inlineStr">
        <is>
          <t>Ride</t>
        </is>
      </c>
      <c r="D37" t="inlineStr">
        <is>
          <t>DEX</t>
        </is>
      </c>
      <c r="E37">
        <f>O7</f>
        <v/>
      </c>
      <c r="F37" t="inlineStr">
        <is>
          <t>POW</t>
        </is>
      </c>
      <c r="G37">
        <f>O9</f>
        <v/>
      </c>
      <c r="H37">
        <f>O7+O9</f>
        <v/>
      </c>
      <c r="I37" t="n">
        <v>0</v>
      </c>
      <c r="J37" t="n">
        <v>0</v>
      </c>
      <c r="K37" t="n">
        <v>0</v>
      </c>
      <c r="L37">
        <f>H37+I37+J37+K37</f>
        <v/>
      </c>
    </row>
    <row r="38">
      <c r="A38" t="inlineStr">
        <is>
          <t>Sing</t>
        </is>
      </c>
      <c r="D38" t="inlineStr">
        <is>
          <t>CHA</t>
        </is>
      </c>
      <c r="E38">
        <f>O10</f>
        <v/>
      </c>
      <c r="F38" t="inlineStr">
        <is>
          <t>POW</t>
        </is>
      </c>
      <c r="G38">
        <f>O9</f>
        <v/>
      </c>
      <c r="H38">
        <f>O10+O9</f>
        <v/>
      </c>
      <c r="I38" t="n">
        <v>0</v>
      </c>
      <c r="J38" t="n">
        <v>0</v>
      </c>
      <c r="K38" t="n">
        <v>0</v>
      </c>
      <c r="L38">
        <f>H38+I38+J38+K38</f>
        <v/>
      </c>
    </row>
    <row r="39">
      <c r="A39" t="inlineStr">
        <is>
          <t>Stealth</t>
        </is>
      </c>
      <c r="D39" t="inlineStr">
        <is>
          <t>DEX</t>
        </is>
      </c>
      <c r="E39">
        <f>O7</f>
        <v/>
      </c>
      <c r="F39" t="inlineStr">
        <is>
          <t>INT</t>
        </is>
      </c>
      <c r="G39">
        <f>O8</f>
        <v/>
      </c>
      <c r="H39">
        <f>O7+O8</f>
        <v/>
      </c>
      <c r="I39" t="n">
        <v>0</v>
      </c>
      <c r="J39" t="n">
        <v>0</v>
      </c>
      <c r="K39" t="n">
        <v>0</v>
      </c>
      <c r="L39">
        <f>H39+I39+J39+K39</f>
        <v/>
      </c>
    </row>
    <row r="40">
      <c r="A40" t="inlineStr">
        <is>
          <t>Swim</t>
        </is>
      </c>
      <c r="D40" t="inlineStr">
        <is>
          <t>STR</t>
        </is>
      </c>
      <c r="E40">
        <f>O4</f>
        <v/>
      </c>
      <c r="F40" t="inlineStr">
        <is>
          <t>CON</t>
        </is>
      </c>
      <c r="G40">
        <f>O5</f>
        <v/>
      </c>
      <c r="H40">
        <f>O4+O5</f>
        <v/>
      </c>
      <c r="I40" t="n">
        <v>0</v>
      </c>
      <c r="J40" t="n">
        <v>0</v>
      </c>
      <c r="K40" t="n">
        <v>0</v>
      </c>
      <c r="L40">
        <f>H40+I40+J40+K40</f>
        <v/>
      </c>
    </row>
    <row r="41">
      <c r="A41" t="inlineStr">
        <is>
          <t>Unarmed</t>
        </is>
      </c>
      <c r="D41" t="inlineStr">
        <is>
          <t>STR</t>
        </is>
      </c>
      <c r="E41">
        <f>O4</f>
        <v/>
      </c>
      <c r="F41" t="inlineStr">
        <is>
          <t>DEX</t>
        </is>
      </c>
      <c r="G41">
        <f>O7</f>
        <v/>
      </c>
      <c r="H41">
        <f>O4+O7</f>
        <v/>
      </c>
      <c r="I41" t="n">
        <v>0</v>
      </c>
      <c r="J41" t="n">
        <v>0</v>
      </c>
      <c r="K41" t="n">
        <v>0</v>
      </c>
      <c r="L41">
        <f>H41+I41+J41+K41</f>
        <v/>
      </c>
    </row>
    <row r="42">
      <c r="A42" t="inlineStr">
        <is>
          <t>Willpower</t>
        </is>
      </c>
      <c r="D42" t="inlineStr">
        <is>
          <t>POW</t>
        </is>
      </c>
      <c r="E42">
        <f>O9</f>
        <v/>
      </c>
      <c r="F42" t="inlineStr">
        <is>
          <t>POW</t>
        </is>
      </c>
      <c r="G42">
        <f>O9</f>
        <v/>
      </c>
      <c r="H42">
        <f>O9*2</f>
        <v/>
      </c>
      <c r="I42" t="n">
        <v>0</v>
      </c>
      <c r="J42" t="n">
        <v>0</v>
      </c>
      <c r="K42" t="n">
        <v>0</v>
      </c>
      <c r="L42">
        <f>H42+I42+J42+K42</f>
        <v/>
      </c>
    </row>
    <row r="43">
      <c r="A43" t="inlineStr">
        <is>
          <t>Combat Style</t>
        </is>
      </c>
      <c r="D43" t="inlineStr">
        <is>
          <t>STR</t>
        </is>
      </c>
      <c r="E43">
        <f>O4</f>
        <v/>
      </c>
      <c r="F43" t="inlineStr">
        <is>
          <t>DEX</t>
        </is>
      </c>
      <c r="G43">
        <f>O7</f>
        <v/>
      </c>
      <c r="H43">
        <f>O4+O7</f>
        <v/>
      </c>
      <c r="I43" t="n">
        <v>0</v>
      </c>
      <c r="J43" t="n">
        <v>0</v>
      </c>
      <c r="K43" t="n">
        <v>0</v>
      </c>
      <c r="L43">
        <f>H43+I43+J43+K43</f>
        <v/>
      </c>
    </row>
    <row r="46">
      <c r="A46" s="6" t="inlineStr">
        <is>
          <t>PROFESSIONAL SKILLS</t>
        </is>
      </c>
    </row>
    <row r="47">
      <c r="A47" s="7" t="inlineStr">
        <is>
          <t>(Add your chosen professional skills below)</t>
        </is>
      </c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>
        <v>0</v>
      </c>
      <c r="J48" s="8" t="n">
        <v>0</v>
      </c>
      <c r="K48" s="8" t="n">
        <v>0</v>
      </c>
      <c r="L48" s="8">
        <f>H48+I48+J48+K48</f>
        <v/>
      </c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>
        <v>0</v>
      </c>
      <c r="J49" s="8" t="n">
        <v>0</v>
      </c>
      <c r="K49" s="8" t="n">
        <v>0</v>
      </c>
      <c r="L49" s="8">
        <f>H49+I49+J49+K49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>
        <v>0</v>
      </c>
      <c r="J50" s="8" t="n">
        <v>0</v>
      </c>
      <c r="K50" s="8" t="n">
        <v>0</v>
      </c>
      <c r="L50" s="8">
        <f>H50+I50+J50+K50</f>
        <v/>
      </c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>
        <v>0</v>
      </c>
      <c r="J51" s="8" t="n">
        <v>0</v>
      </c>
      <c r="K51" s="8" t="n">
        <v>0</v>
      </c>
      <c r="L51" s="8">
        <f>H51+I51+J51+K51</f>
        <v/>
      </c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>
        <v>0</v>
      </c>
      <c r="J52" s="8" t="n">
        <v>0</v>
      </c>
      <c r="K52" s="8" t="n">
        <v>0</v>
      </c>
      <c r="L52" s="8">
        <f>H52+I52+J52+K52</f>
        <v/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>
        <v>0</v>
      </c>
      <c r="J53" s="8" t="n">
        <v>0</v>
      </c>
      <c r="K53" s="8" t="n">
        <v>0</v>
      </c>
      <c r="L53" s="8">
        <f>H53+I53+J53+K53</f>
        <v/>
      </c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>
        <v>0</v>
      </c>
      <c r="J54" s="8" t="n">
        <v>0</v>
      </c>
      <c r="K54" s="8" t="n">
        <v>0</v>
      </c>
      <c r="L54" s="8">
        <f>H54+I54+J54+K54</f>
        <v/>
      </c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>
        <v>0</v>
      </c>
      <c r="J55" s="8" t="n">
        <v>0</v>
      </c>
      <c r="K55" s="8" t="n">
        <v>0</v>
      </c>
      <c r="L55" s="8">
        <f>H55+I55+J55+K55</f>
        <v/>
      </c>
    </row>
    <row r="58">
      <c r="A58" s="9" t="inlineStr">
        <is>
          <t>INSTRUCTIONS:</t>
        </is>
      </c>
    </row>
    <row r="59">
      <c r="A59" t="inlineStr">
        <is>
          <t>1. Fill in your characteristics (STR, CON, etc.) in column O</t>
        </is>
      </c>
    </row>
    <row r="60">
      <c r="A60" t="inlineStr">
        <is>
          <t>2. Mark Cultural skills: type 'x' in column B for skills from your cultural background</t>
        </is>
      </c>
    </row>
    <row r="61">
      <c r="A61" t="inlineStr">
        <is>
          <t>3. Mark Career skills: type 'x' in column C for skills from your chosen career</t>
        </is>
      </c>
    </row>
    <row r="62">
      <c r="A62" t="inlineStr">
        <is>
          <t>4. Add skill points in columns I (Cultural), J (Career), K (Free)</t>
        </is>
      </c>
    </row>
    <row r="63">
      <c r="A63" t="inlineStr">
        <is>
          <t>5. For Professional skills: Add skill name in column A, characteristics in D &amp; F</t>
        </is>
      </c>
    </row>
    <row r="64">
      <c r="A64" t="inlineStr">
        <is>
          <t>6. Professional skill base formulas: Add in column H (e.g., =O4+O7 for STR+DEX)</t>
        </is>
      </c>
    </row>
    <row r="65">
      <c r="A65" t="inlineStr">
        <is>
          <t>7. Point tracking and totals calculate automatically!</t>
        </is>
      </c>
    </row>
    <row r="66">
      <c r="A66" t="inlineStr">
        <is>
          <t>8. Yellow rows = Professional skills section</t>
        </is>
      </c>
    </row>
  </sheetData>
  <mergeCells count="1">
    <mergeCell ref="A1:L1"/>
  </mergeCells>
  <conditionalFormatting sqref="E14:E16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50" customWidth="1" min="3" max="3"/>
    <col width="12" customWidth="1" min="4" max="4"/>
    <col width="21" customWidth="1" min="5" max="5"/>
  </cols>
  <sheetData>
    <row r="1">
      <c r="A1" s="10" t="inlineStr">
        <is>
          <t>MYTHRAS CHARACTER CREATION REFERENCE</t>
        </is>
      </c>
    </row>
    <row r="2">
      <c r="A2" t="inlineStr"/>
    </row>
    <row r="3">
      <c r="A3" s="2" t="inlineStr">
        <is>
          <t>SKILL CHARACTERISTIC COMBINATIONS</t>
        </is>
      </c>
    </row>
    <row r="4">
      <c r="A4" t="inlineStr">
        <is>
          <t>Skill</t>
        </is>
      </c>
      <c r="B4" t="inlineStr">
        <is>
          <t>Char 1</t>
        </is>
      </c>
      <c r="C4" t="inlineStr">
        <is>
          <t>Char 2</t>
        </is>
      </c>
      <c r="D4" t="inlineStr">
        <is>
          <t>Formula</t>
        </is>
      </c>
      <c r="E4" t="inlineStr">
        <is>
          <t>Notes</t>
        </is>
      </c>
    </row>
    <row r="5">
      <c r="A5" t="inlineStr">
        <is>
          <t>Athletics</t>
        </is>
      </c>
      <c r="B5" t="inlineStr">
        <is>
          <t>STR</t>
        </is>
      </c>
      <c r="C5" t="inlineStr">
        <is>
          <t>DEX</t>
        </is>
      </c>
      <c r="D5" t="inlineStr">
        <is>
          <t>STR+DEX</t>
        </is>
      </c>
      <c r="E5" t="inlineStr"/>
    </row>
    <row r="6">
      <c r="A6" t="inlineStr">
        <is>
          <t>Boating</t>
        </is>
      </c>
      <c r="B6" t="inlineStr">
        <is>
          <t>STR</t>
        </is>
      </c>
      <c r="C6" t="inlineStr">
        <is>
          <t>CON</t>
        </is>
      </c>
      <c r="D6" t="inlineStr">
        <is>
          <t>STR+CON</t>
        </is>
      </c>
      <c r="E6" t="inlineStr"/>
    </row>
    <row r="7">
      <c r="A7" s="2" t="inlineStr">
        <is>
          <t>Brawn</t>
        </is>
      </c>
      <c r="B7" s="2" t="inlineStr">
        <is>
          <t>STR</t>
        </is>
      </c>
      <c r="C7" s="2" t="inlineStr">
        <is>
          <t>SIZ</t>
        </is>
      </c>
      <c r="D7" s="2" t="inlineStr">
        <is>
          <t>STR+SIZ</t>
        </is>
      </c>
      <c r="E7" s="2" t="inlineStr"/>
    </row>
    <row r="8">
      <c r="A8" t="inlineStr">
        <is>
          <t>Conceal</t>
        </is>
      </c>
      <c r="B8" t="inlineStr">
        <is>
          <t>DEX</t>
        </is>
      </c>
      <c r="C8" t="inlineStr">
        <is>
          <t>POW</t>
        </is>
      </c>
      <c r="D8" t="inlineStr">
        <is>
          <t>DEX+POW</t>
        </is>
      </c>
      <c r="E8" t="inlineStr"/>
    </row>
    <row r="9">
      <c r="A9" t="inlineStr">
        <is>
          <t>Customs</t>
        </is>
      </c>
      <c r="B9" t="inlineStr">
        <is>
          <t>INT</t>
        </is>
      </c>
      <c r="C9" t="inlineStr"/>
      <c r="D9" t="inlineStr">
        <is>
          <t>INT*2+40</t>
        </is>
      </c>
      <c r="E9" t="inlineStr">
        <is>
          <t>Special calculation</t>
        </is>
      </c>
    </row>
    <row r="10">
      <c r="A10" t="inlineStr">
        <is>
          <t>Dance</t>
        </is>
      </c>
      <c r="B10" t="inlineStr">
        <is>
          <t>DEX</t>
        </is>
      </c>
      <c r="C10" t="inlineStr">
        <is>
          <t>CHA</t>
        </is>
      </c>
      <c r="D10" t="inlineStr">
        <is>
          <t>DEX+CHA</t>
        </is>
      </c>
      <c r="E10" t="inlineStr"/>
    </row>
    <row r="11">
      <c r="A11" t="inlineStr">
        <is>
          <t>Deceit</t>
        </is>
      </c>
      <c r="B11" t="inlineStr">
        <is>
          <t>INT</t>
        </is>
      </c>
      <c r="C11" t="inlineStr">
        <is>
          <t>CHA</t>
        </is>
      </c>
      <c r="D11" t="inlineStr">
        <is>
          <t>INT+CHA</t>
        </is>
      </c>
      <c r="E11" t="inlineStr"/>
    </row>
    <row r="12">
      <c r="A12" t="inlineStr">
        <is>
          <t>Drive</t>
        </is>
      </c>
      <c r="B12" t="inlineStr">
        <is>
          <t>DEX</t>
        </is>
      </c>
      <c r="C12" t="inlineStr">
        <is>
          <t>POW</t>
        </is>
      </c>
      <c r="D12" t="inlineStr">
        <is>
          <t>DEX+POW</t>
        </is>
      </c>
      <c r="E12" t="inlineStr"/>
    </row>
    <row r="13">
      <c r="A13" s="2" t="inlineStr">
        <is>
          <t>Endurance</t>
        </is>
      </c>
      <c r="B13" s="2" t="inlineStr">
        <is>
          <t>CON</t>
        </is>
      </c>
      <c r="C13" s="2" t="inlineStr">
        <is>
          <t>CON</t>
        </is>
      </c>
      <c r="D13" s="2" t="inlineStr">
        <is>
          <t>CON+CON</t>
        </is>
      </c>
      <c r="E13" s="2" t="inlineStr"/>
    </row>
    <row r="14">
      <c r="A14" t="inlineStr">
        <is>
          <t>Evade</t>
        </is>
      </c>
      <c r="B14" t="inlineStr">
        <is>
          <t>DEX</t>
        </is>
      </c>
      <c r="C14" t="inlineStr">
        <is>
          <t>DEX</t>
        </is>
      </c>
      <c r="D14" t="inlineStr">
        <is>
          <t>DEX+DEX</t>
        </is>
      </c>
      <c r="E14" t="inlineStr"/>
    </row>
    <row r="15">
      <c r="A15" t="inlineStr">
        <is>
          <t>First Aid</t>
        </is>
      </c>
      <c r="B15" t="inlineStr">
        <is>
          <t>INT</t>
        </is>
      </c>
      <c r="C15" t="inlineStr">
        <is>
          <t>DEX</t>
        </is>
      </c>
      <c r="D15" t="inlineStr">
        <is>
          <t>INT+DEX</t>
        </is>
      </c>
      <c r="E15" t="inlineStr"/>
    </row>
    <row r="16">
      <c r="A16" t="inlineStr">
        <is>
          <t>Influence</t>
        </is>
      </c>
      <c r="B16" t="inlineStr">
        <is>
          <t>CHA</t>
        </is>
      </c>
      <c r="C16" t="inlineStr">
        <is>
          <t>CHA</t>
        </is>
      </c>
      <c r="D16" t="inlineStr">
        <is>
          <t>CHA+CHA</t>
        </is>
      </c>
      <c r="E16" t="inlineStr"/>
    </row>
    <row r="17">
      <c r="A17" t="inlineStr">
        <is>
          <t>Insight</t>
        </is>
      </c>
      <c r="B17" t="inlineStr">
        <is>
          <t>INT</t>
        </is>
      </c>
      <c r="C17" t="inlineStr">
        <is>
          <t>POW</t>
        </is>
      </c>
      <c r="D17" t="inlineStr">
        <is>
          <t>INT+POW</t>
        </is>
      </c>
      <c r="E17" t="inlineStr"/>
    </row>
    <row r="18">
      <c r="A18" t="inlineStr">
        <is>
          <t>Locale</t>
        </is>
      </c>
      <c r="B18" t="inlineStr">
        <is>
          <t>INT</t>
        </is>
      </c>
      <c r="C18" t="inlineStr">
        <is>
          <t>INT</t>
        </is>
      </c>
      <c r="D18" t="inlineStr">
        <is>
          <t>INT+INT</t>
        </is>
      </c>
      <c r="E18" t="inlineStr"/>
    </row>
    <row r="19">
      <c r="A19" s="2" t="inlineStr">
        <is>
          <t>Native Tongue</t>
        </is>
      </c>
      <c r="B19" s="2" t="inlineStr">
        <is>
          <t>INT</t>
        </is>
      </c>
      <c r="C19" s="2" t="inlineStr">
        <is>
          <t>CHA</t>
        </is>
      </c>
      <c r="D19" s="2" t="inlineStr">
        <is>
          <t>INT+CHA+40</t>
        </is>
      </c>
      <c r="E19" s="2" t="inlineStr">
        <is>
          <t>Special calculation</t>
        </is>
      </c>
    </row>
    <row r="20">
      <c r="A20" t="inlineStr">
        <is>
          <t>Perception</t>
        </is>
      </c>
      <c r="B20" t="inlineStr">
        <is>
          <t>INT</t>
        </is>
      </c>
      <c r="C20" t="inlineStr">
        <is>
          <t>POW</t>
        </is>
      </c>
      <c r="D20" t="inlineStr">
        <is>
          <t>INT+POW</t>
        </is>
      </c>
      <c r="E20" t="inlineStr"/>
    </row>
    <row r="21">
      <c r="A21" t="inlineStr">
        <is>
          <t>Ride</t>
        </is>
      </c>
      <c r="B21" t="inlineStr">
        <is>
          <t>DEX</t>
        </is>
      </c>
      <c r="C21" t="inlineStr">
        <is>
          <t>POW</t>
        </is>
      </c>
      <c r="D21" t="inlineStr">
        <is>
          <t>DEX+POW</t>
        </is>
      </c>
      <c r="E21" t="inlineStr"/>
    </row>
    <row r="22">
      <c r="A22" t="inlineStr">
        <is>
          <t>Sing</t>
        </is>
      </c>
      <c r="B22" t="inlineStr">
        <is>
          <t>CHA</t>
        </is>
      </c>
      <c r="C22" t="inlineStr">
        <is>
          <t>POW</t>
        </is>
      </c>
      <c r="D22" t="inlineStr">
        <is>
          <t>CHA+POW</t>
        </is>
      </c>
      <c r="E22" t="inlineStr"/>
    </row>
    <row r="23">
      <c r="A23" t="inlineStr">
        <is>
          <t>Stealth</t>
        </is>
      </c>
      <c r="B23" t="inlineStr">
        <is>
          <t>DEX</t>
        </is>
      </c>
      <c r="C23" t="inlineStr">
        <is>
          <t>INT</t>
        </is>
      </c>
      <c r="D23" t="inlineStr">
        <is>
          <t>DEX+INT</t>
        </is>
      </c>
      <c r="E23" t="inlineStr"/>
    </row>
    <row r="24">
      <c r="A24" t="inlineStr">
        <is>
          <t>Swim</t>
        </is>
      </c>
      <c r="B24" t="inlineStr">
        <is>
          <t>STR</t>
        </is>
      </c>
      <c r="C24" t="inlineStr">
        <is>
          <t>CON</t>
        </is>
      </c>
      <c r="D24" t="inlineStr">
        <is>
          <t>STR+CON</t>
        </is>
      </c>
      <c r="E24" t="inlineStr"/>
    </row>
    <row r="25">
      <c r="A25" t="inlineStr">
        <is>
          <t>Unarmed</t>
        </is>
      </c>
      <c r="B25" t="inlineStr">
        <is>
          <t>STR</t>
        </is>
      </c>
      <c r="C25" t="inlineStr">
        <is>
          <t>DEX</t>
        </is>
      </c>
      <c r="D25" t="inlineStr">
        <is>
          <t>STR+DEX</t>
        </is>
      </c>
      <c r="E25" t="inlineStr"/>
    </row>
    <row r="26">
      <c r="A26" t="inlineStr">
        <is>
          <t>Willpower</t>
        </is>
      </c>
      <c r="B26" t="inlineStr">
        <is>
          <t>POW</t>
        </is>
      </c>
      <c r="C26" t="inlineStr">
        <is>
          <t>POW</t>
        </is>
      </c>
      <c r="D26" t="inlineStr">
        <is>
          <t>POW+POW</t>
        </is>
      </c>
      <c r="E26" t="inlineStr"/>
    </row>
    <row r="27">
      <c r="A27" t="inlineStr">
        <is>
          <t>Combat Style</t>
        </is>
      </c>
      <c r="B27" t="inlineStr">
        <is>
          <t>STR</t>
        </is>
      </c>
      <c r="C27" t="inlineStr">
        <is>
          <t>DEX</t>
        </is>
      </c>
      <c r="D27" t="inlineStr">
        <is>
          <t>STR+DEX</t>
        </is>
      </c>
      <c r="E27" t="inlineStr"/>
    </row>
    <row r="28">
      <c r="A28" t="inlineStr"/>
    </row>
    <row r="29">
      <c r="A29" t="inlineStr">
        <is>
          <t>POINT ALLOCATION PHASES</t>
        </is>
      </c>
    </row>
    <row r="30">
      <c r="A30" t="inlineStr">
        <is>
          <t>Phase</t>
        </is>
      </c>
      <c r="B30" t="inlineStr">
        <is>
          <t>Typical Points</t>
        </is>
      </c>
      <c r="C30" t="inlineStr">
        <is>
          <t>Used For</t>
        </is>
      </c>
    </row>
    <row r="31">
      <c r="A31" t="inlineStr">
        <is>
          <t>Cultural</t>
        </is>
      </c>
      <c r="B31" t="inlineStr">
        <is>
          <t>100</t>
        </is>
      </c>
      <c r="C31" t="inlineStr">
        <is>
          <t>Standard skills from cultural background</t>
        </is>
      </c>
    </row>
    <row r="32">
      <c r="A32" t="inlineStr">
        <is>
          <t>Career</t>
        </is>
      </c>
      <c r="B32" t="inlineStr">
        <is>
          <t>50-100</t>
        </is>
      </c>
      <c r="C32" t="inlineStr">
        <is>
          <t>Standard skills from chosen career</t>
        </is>
      </c>
    </row>
    <row r="33">
      <c r="A33" t="inlineStr">
        <is>
          <t>Free Points</t>
        </is>
      </c>
      <c r="B33" t="inlineStr">
        <is>
          <t>25-50</t>
        </is>
      </c>
      <c r="C33" t="inlineStr">
        <is>
          <t>Any standard skills + existing professional skills</t>
        </is>
      </c>
    </row>
    <row r="34">
      <c r="A34" t="inlineStr"/>
    </row>
    <row r="35">
      <c r="A35" t="inlineStr">
        <is>
          <t>PROFESSIONAL SKILLS</t>
        </is>
      </c>
    </row>
    <row r="36">
      <c r="A36" t="inlineStr">
        <is>
          <t>- Choose based on character concept</t>
        </is>
      </c>
    </row>
    <row r="37">
      <c r="A37" t="inlineStr">
        <is>
          <t>- Add skill names in column A of Professional Skills section</t>
        </is>
      </c>
    </row>
    <row r="38">
      <c r="A38" t="inlineStr">
        <is>
          <t>- Each uses two characteristics as base</t>
        </is>
      </c>
    </row>
    <row r="39">
      <c r="A39" t="inlineStr">
        <is>
          <t>- Can be improved with Career or Free points if already known</t>
        </is>
      </c>
    </row>
    <row r="40">
      <c r="A40" t="inlineStr"/>
    </row>
    <row r="41">
      <c r="A41" t="inlineStr">
        <is>
          <t>SKILL CATEGORIES</t>
        </is>
      </c>
    </row>
    <row r="42">
      <c r="A42" t="inlineStr">
        <is>
          <t>Mark with 'x' in Cultural column for cultural background skills</t>
        </is>
      </c>
    </row>
    <row r="43">
      <c r="A43" t="inlineStr">
        <is>
          <t>Mark with 'x' in Career column for career skills</t>
        </is>
      </c>
    </row>
    <row r="44">
      <c r="A44" t="inlineStr">
        <is>
          <t>Professional skills go in the yellow section at bottom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2026-09-13T11:14:01Z</dcterms:created>
  <dcterms:modified xsi:type="dcterms:W3CDTF">2026-09-13T11:14:01Z</dcterms:modified>
</cp:coreProperties>
</file>