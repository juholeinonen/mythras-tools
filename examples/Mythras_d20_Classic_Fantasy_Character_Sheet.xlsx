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Sheet" sheetId="1" state="visible" r:id="rId1"/>
    <sheet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</font>
    <font>
      <b val="1"/>
      <color rgb="00FFFFFF"/>
      <sz val="14"/>
    </font>
    <font>
      <b val="1"/>
      <color rgb="00FFFFFF"/>
      <sz val="12"/>
    </font>
    <font>
      <i val="1"/>
    </font>
    <font>
      <b val="1"/>
      <color rgb="00C5504B"/>
      <sz val="12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0" pivotButton="0" quotePrefix="0" xfId="0"/>
    <xf numFmtId="0" fontId="5" fillId="5" borderId="0" pivotButton="0" quotePrefix="0" xfId="0"/>
    <xf numFmtId="0" fontId="6" fillId="0" borderId="0" pivotButton="0" quotePrefix="0" xfId="0"/>
    <xf numFmtId="0" fontId="0" fillId="6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6B6B"/>
          <bgColor rgb="00FF6B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8" customWidth="1" min="6" max="6"/>
    <col width="12" customWidth="1" min="7" max="7"/>
    <col width="8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8" customWidth="1" min="15" max="15"/>
    <col width="8" customWidth="1" min="16" max="16"/>
    <col width="3" customWidth="1" min="17" max="17"/>
    <col width="18" customWidth="1" min="18" max="18"/>
    <col width="10" customWidth="1" min="19" max="19"/>
  </cols>
  <sheetData>
    <row r="1">
      <c r="A1" s="1" t="inlineStr">
        <is>
          <t>MYTHRAS d20 CLASSIC FANTASY CHARACTER SHEET</t>
        </is>
      </c>
    </row>
    <row r="3">
      <c r="A3" s="2" t="inlineStr">
        <is>
          <t>CHARACTER INFO</t>
        </is>
      </c>
      <c r="E3" s="2" t="inlineStr">
        <is>
          <t>POINT POOLS</t>
        </is>
      </c>
      <c r="R3" s="2" t="inlineStr">
        <is>
          <t>CHARACTERISTICS</t>
        </is>
      </c>
    </row>
    <row r="4">
      <c r="A4" s="3" t="inlineStr">
        <is>
          <t>Name:</t>
        </is>
      </c>
      <c r="E4" t="inlineStr">
        <is>
          <t>Cultural Points:</t>
        </is>
      </c>
      <c r="F4" t="n">
        <v>100</v>
      </c>
      <c r="R4" s="3" t="inlineStr">
        <is>
          <t>STR:</t>
        </is>
      </c>
      <c r="S4" t="n">
        <v>10</v>
      </c>
    </row>
    <row r="5">
      <c r="A5" s="3" t="inlineStr">
        <is>
          <t>Culture:</t>
        </is>
      </c>
      <c r="E5" t="inlineStr">
        <is>
          <t>Career Points:</t>
        </is>
      </c>
      <c r="F5" t="n">
        <v>50</v>
      </c>
      <c r="R5" s="3" t="inlineStr">
        <is>
          <t>CON:</t>
        </is>
      </c>
      <c r="S5" t="n">
        <v>10</v>
      </c>
    </row>
    <row r="6">
      <c r="A6" s="3" t="inlineStr">
        <is>
          <t>Career:</t>
        </is>
      </c>
      <c r="E6" t="inlineStr">
        <is>
          <t>Class Points:</t>
        </is>
      </c>
      <c r="F6" t="n">
        <v>75</v>
      </c>
      <c r="R6" s="3" t="inlineStr">
        <is>
          <t>SIZ:</t>
        </is>
      </c>
      <c r="S6" t="n">
        <v>10</v>
      </c>
    </row>
    <row r="7">
      <c r="A7" s="3" t="inlineStr">
        <is>
          <t>Class:</t>
        </is>
      </c>
      <c r="E7" t="inlineStr">
        <is>
          <t>Free Points:</t>
        </is>
      </c>
      <c r="F7" t="n">
        <v>25</v>
      </c>
      <c r="R7" s="3" t="inlineStr">
        <is>
          <t>DEX:</t>
        </is>
      </c>
      <c r="S7" t="n">
        <v>10</v>
      </c>
    </row>
    <row r="8">
      <c r="A8" s="3" t="inlineStr">
        <is>
          <t>Age:</t>
        </is>
      </c>
      <c r="R8" s="3" t="inlineStr">
        <is>
          <t>INT:</t>
        </is>
      </c>
      <c r="S8" t="n">
        <v>10</v>
      </c>
    </row>
    <row r="9">
      <c r="E9" s="2" t="inlineStr">
        <is>
          <t>POINTS USED</t>
        </is>
      </c>
      <c r="R9" s="3" t="inlineStr">
        <is>
          <t>POW:</t>
        </is>
      </c>
      <c r="S9" t="n">
        <v>10</v>
      </c>
    </row>
    <row r="10">
      <c r="E10" t="inlineStr">
        <is>
          <t>Cultural Used:</t>
        </is>
      </c>
      <c r="F10">
        <f>SUM(J:J)</f>
        <v/>
      </c>
      <c r="R10" s="3" t="inlineStr">
        <is>
          <t>CHA:</t>
        </is>
      </c>
      <c r="S10" t="n">
        <v>10</v>
      </c>
    </row>
    <row r="11">
      <c r="E11" t="inlineStr">
        <is>
          <t>Career Used:</t>
        </is>
      </c>
      <c r="F11">
        <f>SUM(K:K)</f>
        <v/>
      </c>
    </row>
    <row r="12">
      <c r="E12" t="inlineStr">
        <is>
          <t>Class Used:</t>
        </is>
      </c>
      <c r="F12">
        <f>SUM(L:L)</f>
        <v/>
      </c>
    </row>
    <row r="13">
      <c r="E13" t="inlineStr">
        <is>
          <t>Free Used:</t>
        </is>
      </c>
      <c r="F13">
        <f>SUM(M:M)</f>
        <v/>
      </c>
    </row>
    <row r="15">
      <c r="E15" s="2" t="inlineStr">
        <is>
          <t>REMAINING</t>
        </is>
      </c>
    </row>
    <row r="16">
      <c r="E16" t="inlineStr">
        <is>
          <t>Cultural Left:</t>
        </is>
      </c>
      <c r="F16">
        <f>F4-F10</f>
        <v/>
      </c>
    </row>
    <row r="17">
      <c r="E17" t="inlineStr">
        <is>
          <t>Career Left:</t>
        </is>
      </c>
      <c r="F17">
        <f>F5-F11</f>
        <v/>
      </c>
    </row>
    <row r="18">
      <c r="E18" t="inlineStr">
        <is>
          <t>Class Left:</t>
        </is>
      </c>
      <c r="F18">
        <f>F6-F12</f>
        <v/>
      </c>
    </row>
    <row r="19">
      <c r="E19" t="inlineStr">
        <is>
          <t>Free Left:</t>
        </is>
      </c>
      <c r="F19">
        <f>F7-F13</f>
        <v/>
      </c>
    </row>
    <row r="20">
      <c r="A20" s="4" t="inlineStr">
        <is>
          <t>SKILL</t>
        </is>
      </c>
      <c r="B20" s="4" t="inlineStr">
        <is>
          <t>CULTURAL</t>
        </is>
      </c>
      <c r="C20" s="4" t="inlineStr">
        <is>
          <t>CAREER</t>
        </is>
      </c>
      <c r="D20" s="4" t="inlineStr">
        <is>
          <t>CLASS</t>
        </is>
      </c>
      <c r="E20" s="4" t="inlineStr">
        <is>
          <t>CHAR 1</t>
        </is>
      </c>
      <c r="F20" s="4" t="inlineStr">
        <is>
          <t>VAL 1</t>
        </is>
      </c>
      <c r="G20" s="4" t="inlineStr">
        <is>
          <t>CHAR 2</t>
        </is>
      </c>
      <c r="H20" s="4" t="inlineStr">
        <is>
          <t>VAL 2</t>
        </is>
      </c>
      <c r="I20" s="4" t="inlineStr">
        <is>
          <t>BASE</t>
        </is>
      </c>
      <c r="J20" s="4" t="inlineStr">
        <is>
          <t>CULT PTS</t>
        </is>
      </c>
      <c r="K20" s="4" t="inlineStr">
        <is>
          <t>CAREER PTS</t>
        </is>
      </c>
      <c r="L20" s="4" t="inlineStr">
        <is>
          <t>CLASS PTS</t>
        </is>
      </c>
      <c r="M20" s="4" t="inlineStr">
        <is>
          <t>FREE PTS</t>
        </is>
      </c>
      <c r="N20" s="4" t="inlineStr">
        <is>
          <t>TOTAL</t>
        </is>
      </c>
      <c r="O20" s="4" t="inlineStr">
        <is>
          <t>d20 VALUE</t>
        </is>
      </c>
      <c r="P20" s="4" t="inlineStr">
        <is>
          <t>d20 BONUS</t>
        </is>
      </c>
    </row>
    <row r="22">
      <c r="A22" s="5" t="inlineStr">
        <is>
          <t>STANDARD SKILLS</t>
        </is>
      </c>
    </row>
    <row r="23">
      <c r="A23" t="inlineStr">
        <is>
          <t>Athletics</t>
        </is>
      </c>
      <c r="E23" t="inlineStr">
        <is>
          <t>STR</t>
        </is>
      </c>
      <c r="F23">
        <f>S4</f>
        <v/>
      </c>
      <c r="G23" t="inlineStr">
        <is>
          <t>DEX</t>
        </is>
      </c>
      <c r="H23">
        <f>S7</f>
        <v/>
      </c>
      <c r="I23">
        <f>S4+S7</f>
        <v/>
      </c>
      <c r="J23" t="n">
        <v>0</v>
      </c>
      <c r="K23" t="n">
        <v>0</v>
      </c>
      <c r="L23" t="n">
        <v>0</v>
      </c>
      <c r="M23" t="n">
        <v>0</v>
      </c>
      <c r="N23">
        <f>I23+J23+K23+L23+M23</f>
        <v/>
      </c>
      <c r="O23">
        <f>ROUNDDOWN(N23/5,0)</f>
        <v/>
      </c>
      <c r="P23">
        <f>MOD(N23,5)</f>
        <v/>
      </c>
    </row>
    <row r="24">
      <c r="A24" t="inlineStr">
        <is>
          <t>Boating</t>
        </is>
      </c>
      <c r="E24" t="inlineStr">
        <is>
          <t>STR</t>
        </is>
      </c>
      <c r="F24">
        <f>S4</f>
        <v/>
      </c>
      <c r="G24" t="inlineStr">
        <is>
          <t>CON</t>
        </is>
      </c>
      <c r="H24">
        <f>S5</f>
        <v/>
      </c>
      <c r="I24">
        <f>S4+S5</f>
        <v/>
      </c>
      <c r="J24" t="n">
        <v>0</v>
      </c>
      <c r="K24" t="n">
        <v>0</v>
      </c>
      <c r="L24" t="n">
        <v>0</v>
      </c>
      <c r="M24" t="n">
        <v>0</v>
      </c>
      <c r="N24">
        <f>I24+J24+K24+L24+M24</f>
        <v/>
      </c>
      <c r="O24">
        <f>ROUNDDOWN(N24/5,0)</f>
        <v/>
      </c>
      <c r="P24">
        <f>MOD(N24,5)</f>
        <v/>
      </c>
    </row>
    <row r="25">
      <c r="A25" t="inlineStr">
        <is>
          <t>Brawn</t>
        </is>
      </c>
      <c r="E25" t="inlineStr">
        <is>
          <t>STR</t>
        </is>
      </c>
      <c r="F25">
        <f>S4</f>
        <v/>
      </c>
      <c r="G25" t="inlineStr">
        <is>
          <t>SIZ</t>
        </is>
      </c>
      <c r="H25">
        <f>S6</f>
        <v/>
      </c>
      <c r="I25">
        <f>S4+S6</f>
        <v/>
      </c>
      <c r="J25" t="n">
        <v>0</v>
      </c>
      <c r="K25" t="n">
        <v>0</v>
      </c>
      <c r="L25" t="n">
        <v>0</v>
      </c>
      <c r="M25" t="n">
        <v>0</v>
      </c>
      <c r="N25">
        <f>I25+J25+K25+L25+M25</f>
        <v/>
      </c>
      <c r="O25">
        <f>ROUNDDOWN(N25/5,0)</f>
        <v/>
      </c>
      <c r="P25">
        <f>MOD(N25,5)</f>
        <v/>
      </c>
    </row>
    <row r="26">
      <c r="A26" t="inlineStr">
        <is>
          <t>Conceal</t>
        </is>
      </c>
      <c r="E26" t="inlineStr">
        <is>
          <t>DEX</t>
        </is>
      </c>
      <c r="F26">
        <f>S7</f>
        <v/>
      </c>
      <c r="G26" t="inlineStr">
        <is>
          <t>POW</t>
        </is>
      </c>
      <c r="H26">
        <f>S9</f>
        <v/>
      </c>
      <c r="I26">
        <f>S7+S9</f>
        <v/>
      </c>
      <c r="J26" t="n">
        <v>0</v>
      </c>
      <c r="K26" t="n">
        <v>0</v>
      </c>
      <c r="L26" t="n">
        <v>0</v>
      </c>
      <c r="M26" t="n">
        <v>0</v>
      </c>
      <c r="N26">
        <f>I26+J26+K26+L26+M26</f>
        <v/>
      </c>
      <c r="O26">
        <f>ROUNDDOWN(N26/5,0)</f>
        <v/>
      </c>
      <c r="P26">
        <f>MOD(N26,5)</f>
        <v/>
      </c>
    </row>
    <row r="27">
      <c r="A27" t="inlineStr">
        <is>
          <t>Customs</t>
        </is>
      </c>
      <c r="E27" t="inlineStr">
        <is>
          <t>INT</t>
        </is>
      </c>
      <c r="F27">
        <f>S8</f>
        <v/>
      </c>
      <c r="G27" t="inlineStr"/>
      <c r="H27" t="inlineStr"/>
      <c r="I27">
        <f>S8*2+40</f>
        <v/>
      </c>
      <c r="J27" t="n">
        <v>0</v>
      </c>
      <c r="K27" t="n">
        <v>0</v>
      </c>
      <c r="L27" t="n">
        <v>0</v>
      </c>
      <c r="M27" t="n">
        <v>0</v>
      </c>
      <c r="N27">
        <f>I27+J27+K27+L27+M27</f>
        <v/>
      </c>
      <c r="O27">
        <f>ROUNDDOWN(N27/5,0)</f>
        <v/>
      </c>
      <c r="P27">
        <f>MOD(N27,5)</f>
        <v/>
      </c>
    </row>
    <row r="28">
      <c r="A28" t="inlineStr">
        <is>
          <t>Dance</t>
        </is>
      </c>
      <c r="E28" t="inlineStr">
        <is>
          <t>DEX</t>
        </is>
      </c>
      <c r="F28">
        <f>S7</f>
        <v/>
      </c>
      <c r="G28" t="inlineStr">
        <is>
          <t>CHA</t>
        </is>
      </c>
      <c r="H28">
        <f>S10</f>
        <v/>
      </c>
      <c r="I28">
        <f>S7+S10</f>
        <v/>
      </c>
      <c r="J28" t="n">
        <v>0</v>
      </c>
      <c r="K28" t="n">
        <v>0</v>
      </c>
      <c r="L28" t="n">
        <v>0</v>
      </c>
      <c r="M28" t="n">
        <v>0</v>
      </c>
      <c r="N28">
        <f>I28+J28+K28+L28+M28</f>
        <v/>
      </c>
      <c r="O28">
        <f>ROUNDDOWN(N28/5,0)</f>
        <v/>
      </c>
      <c r="P28">
        <f>MOD(N28,5)</f>
        <v/>
      </c>
    </row>
    <row r="29">
      <c r="A29" t="inlineStr">
        <is>
          <t>Deceit</t>
        </is>
      </c>
      <c r="E29" t="inlineStr">
        <is>
          <t>INT</t>
        </is>
      </c>
      <c r="F29">
        <f>S8</f>
        <v/>
      </c>
      <c r="G29" t="inlineStr">
        <is>
          <t>CHA</t>
        </is>
      </c>
      <c r="H29">
        <f>S10</f>
        <v/>
      </c>
      <c r="I29">
        <f>S8+S10</f>
        <v/>
      </c>
      <c r="J29" t="n">
        <v>0</v>
      </c>
      <c r="K29" t="n">
        <v>0</v>
      </c>
      <c r="L29" t="n">
        <v>0</v>
      </c>
      <c r="M29" t="n">
        <v>0</v>
      </c>
      <c r="N29">
        <f>I29+J29+K29+L29+M29</f>
        <v/>
      </c>
      <c r="O29">
        <f>ROUNDDOWN(N29/5,0)</f>
        <v/>
      </c>
      <c r="P29">
        <f>MOD(N29,5)</f>
        <v/>
      </c>
    </row>
    <row r="30">
      <c r="A30" t="inlineStr">
        <is>
          <t>Drive</t>
        </is>
      </c>
      <c r="E30" t="inlineStr">
        <is>
          <t>DEX</t>
        </is>
      </c>
      <c r="F30">
        <f>S7</f>
        <v/>
      </c>
      <c r="G30" t="inlineStr">
        <is>
          <t>POW</t>
        </is>
      </c>
      <c r="H30">
        <f>S9</f>
        <v/>
      </c>
      <c r="I30">
        <f>S7+S9</f>
        <v/>
      </c>
      <c r="J30" t="n">
        <v>0</v>
      </c>
      <c r="K30" t="n">
        <v>0</v>
      </c>
      <c r="L30" t="n">
        <v>0</v>
      </c>
      <c r="M30" t="n">
        <v>0</v>
      </c>
      <c r="N30">
        <f>I30+J30+K30+L30+M30</f>
        <v/>
      </c>
      <c r="O30">
        <f>ROUNDDOWN(N30/5,0)</f>
        <v/>
      </c>
      <c r="P30">
        <f>MOD(N30,5)</f>
        <v/>
      </c>
    </row>
    <row r="31">
      <c r="A31" t="inlineStr">
        <is>
          <t>Endurance</t>
        </is>
      </c>
      <c r="E31" t="inlineStr">
        <is>
          <t>CON</t>
        </is>
      </c>
      <c r="F31">
        <f>S5</f>
        <v/>
      </c>
      <c r="G31" t="inlineStr">
        <is>
          <t>CON</t>
        </is>
      </c>
      <c r="H31">
        <f>S5</f>
        <v/>
      </c>
      <c r="I31">
        <f>S5*2</f>
        <v/>
      </c>
      <c r="J31" t="n">
        <v>0</v>
      </c>
      <c r="K31" t="n">
        <v>0</v>
      </c>
      <c r="L31" t="n">
        <v>0</v>
      </c>
      <c r="M31" t="n">
        <v>0</v>
      </c>
      <c r="N31">
        <f>I31+J31+K31+L31+M31</f>
        <v/>
      </c>
      <c r="O31">
        <f>ROUNDDOWN(N31/5,0)</f>
        <v/>
      </c>
      <c r="P31">
        <f>MOD(N31,5)</f>
        <v/>
      </c>
    </row>
    <row r="32">
      <c r="A32" t="inlineStr">
        <is>
          <t>Evade</t>
        </is>
      </c>
      <c r="E32" t="inlineStr">
        <is>
          <t>DEX</t>
        </is>
      </c>
      <c r="F32">
        <f>S7</f>
        <v/>
      </c>
      <c r="G32" t="inlineStr">
        <is>
          <t>DEX</t>
        </is>
      </c>
      <c r="H32">
        <f>S7</f>
        <v/>
      </c>
      <c r="I32">
        <f>S7*2</f>
        <v/>
      </c>
      <c r="J32" t="n">
        <v>0</v>
      </c>
      <c r="K32" t="n">
        <v>0</v>
      </c>
      <c r="L32" t="n">
        <v>0</v>
      </c>
      <c r="M32" t="n">
        <v>0</v>
      </c>
      <c r="N32">
        <f>I32+J32+K32+L32+M32</f>
        <v/>
      </c>
      <c r="O32">
        <f>ROUNDDOWN(N32/5,0)</f>
        <v/>
      </c>
      <c r="P32">
        <f>MOD(N32,5)</f>
        <v/>
      </c>
    </row>
    <row r="33">
      <c r="A33" t="inlineStr">
        <is>
          <t>First Aid</t>
        </is>
      </c>
      <c r="E33" t="inlineStr">
        <is>
          <t>INT</t>
        </is>
      </c>
      <c r="F33">
        <f>S8</f>
        <v/>
      </c>
      <c r="G33" t="inlineStr">
        <is>
          <t>DEX</t>
        </is>
      </c>
      <c r="H33">
        <f>S7</f>
        <v/>
      </c>
      <c r="I33">
        <f>S8+S7</f>
        <v/>
      </c>
      <c r="J33" t="n">
        <v>0</v>
      </c>
      <c r="K33" t="n">
        <v>0</v>
      </c>
      <c r="L33" t="n">
        <v>0</v>
      </c>
      <c r="M33" t="n">
        <v>0</v>
      </c>
      <c r="N33">
        <f>I33+J33+K33+L33+M33</f>
        <v/>
      </c>
      <c r="O33">
        <f>ROUNDDOWN(N33/5,0)</f>
        <v/>
      </c>
      <c r="P33">
        <f>MOD(N33,5)</f>
        <v/>
      </c>
    </row>
    <row r="34">
      <c r="A34" t="inlineStr">
        <is>
          <t>Influence</t>
        </is>
      </c>
      <c r="E34" t="inlineStr">
        <is>
          <t>CHA</t>
        </is>
      </c>
      <c r="F34">
        <f>S10</f>
        <v/>
      </c>
      <c r="G34" t="inlineStr">
        <is>
          <t>CHA</t>
        </is>
      </c>
      <c r="H34">
        <f>S10</f>
        <v/>
      </c>
      <c r="I34">
        <f>S10*2</f>
        <v/>
      </c>
      <c r="J34" t="n">
        <v>0</v>
      </c>
      <c r="K34" t="n">
        <v>0</v>
      </c>
      <c r="L34" t="n">
        <v>0</v>
      </c>
      <c r="M34" t="n">
        <v>0</v>
      </c>
      <c r="N34">
        <f>I34+J34+K34+L34+M34</f>
        <v/>
      </c>
      <c r="O34">
        <f>ROUNDDOWN(N34/5,0)</f>
        <v/>
      </c>
      <c r="P34">
        <f>MOD(N34,5)</f>
        <v/>
      </c>
    </row>
    <row r="35">
      <c r="A35" t="inlineStr">
        <is>
          <t>Insight</t>
        </is>
      </c>
      <c r="E35" t="inlineStr">
        <is>
          <t>INT</t>
        </is>
      </c>
      <c r="F35">
        <f>S8</f>
        <v/>
      </c>
      <c r="G35" t="inlineStr">
        <is>
          <t>POW</t>
        </is>
      </c>
      <c r="H35">
        <f>S9</f>
        <v/>
      </c>
      <c r="I35">
        <f>S8+S9</f>
        <v/>
      </c>
      <c r="J35" t="n">
        <v>0</v>
      </c>
      <c r="K35" t="n">
        <v>0</v>
      </c>
      <c r="L35" t="n">
        <v>0</v>
      </c>
      <c r="M35" t="n">
        <v>0</v>
      </c>
      <c r="N35">
        <f>I35+J35+K35+L35+M35</f>
        <v/>
      </c>
      <c r="O35">
        <f>ROUNDDOWN(N35/5,0)</f>
        <v/>
      </c>
      <c r="P35">
        <f>MOD(N35,5)</f>
        <v/>
      </c>
    </row>
    <row r="36">
      <c r="A36" t="inlineStr">
        <is>
          <t>Locale</t>
        </is>
      </c>
      <c r="E36" t="inlineStr">
        <is>
          <t>INT</t>
        </is>
      </c>
      <c r="F36">
        <f>S8</f>
        <v/>
      </c>
      <c r="G36" t="inlineStr">
        <is>
          <t>INT</t>
        </is>
      </c>
      <c r="H36">
        <f>S8</f>
        <v/>
      </c>
      <c r="I36">
        <f>S8*2</f>
        <v/>
      </c>
      <c r="J36" t="n">
        <v>0</v>
      </c>
      <c r="K36" t="n">
        <v>0</v>
      </c>
      <c r="L36" t="n">
        <v>0</v>
      </c>
      <c r="M36" t="n">
        <v>0</v>
      </c>
      <c r="N36">
        <f>I36+J36+K36+L36+M36</f>
        <v/>
      </c>
      <c r="O36">
        <f>ROUNDDOWN(N36/5,0)</f>
        <v/>
      </c>
      <c r="P36">
        <f>MOD(N36,5)</f>
        <v/>
      </c>
    </row>
    <row r="37">
      <c r="A37" t="inlineStr">
        <is>
          <t>Native Tongue</t>
        </is>
      </c>
      <c r="E37" t="inlineStr">
        <is>
          <t>INT</t>
        </is>
      </c>
      <c r="F37">
        <f>S8</f>
        <v/>
      </c>
      <c r="G37" t="inlineStr">
        <is>
          <t>CHA</t>
        </is>
      </c>
      <c r="H37">
        <f>S10</f>
        <v/>
      </c>
      <c r="I37">
        <f>S8+S10+40</f>
        <v/>
      </c>
      <c r="J37" t="n">
        <v>0</v>
      </c>
      <c r="K37" t="n">
        <v>0</v>
      </c>
      <c r="L37" t="n">
        <v>0</v>
      </c>
      <c r="M37" t="n">
        <v>0</v>
      </c>
      <c r="N37">
        <f>I37+J37+K37+L37+M37</f>
        <v/>
      </c>
      <c r="O37">
        <f>ROUNDDOWN(N37/5,0)</f>
        <v/>
      </c>
      <c r="P37">
        <f>MOD(N37,5)</f>
        <v/>
      </c>
    </row>
    <row r="38">
      <c r="A38" t="inlineStr">
        <is>
          <t>Perception</t>
        </is>
      </c>
      <c r="E38" t="inlineStr">
        <is>
          <t>INT</t>
        </is>
      </c>
      <c r="F38">
        <f>S8</f>
        <v/>
      </c>
      <c r="G38" t="inlineStr">
        <is>
          <t>POW</t>
        </is>
      </c>
      <c r="H38">
        <f>S9</f>
        <v/>
      </c>
      <c r="I38">
        <f>S8+S9</f>
        <v/>
      </c>
      <c r="J38" t="n">
        <v>0</v>
      </c>
      <c r="K38" t="n">
        <v>0</v>
      </c>
      <c r="L38" t="n">
        <v>0</v>
      </c>
      <c r="M38" t="n">
        <v>0</v>
      </c>
      <c r="N38">
        <f>I38+J38+K38+L38+M38</f>
        <v/>
      </c>
      <c r="O38">
        <f>ROUNDDOWN(N38/5,0)</f>
        <v/>
      </c>
      <c r="P38">
        <f>MOD(N38,5)</f>
        <v/>
      </c>
    </row>
    <row r="39">
      <c r="A39" t="inlineStr">
        <is>
          <t>Ride</t>
        </is>
      </c>
      <c r="E39" t="inlineStr">
        <is>
          <t>DEX</t>
        </is>
      </c>
      <c r="F39">
        <f>S7</f>
        <v/>
      </c>
      <c r="G39" t="inlineStr">
        <is>
          <t>POW</t>
        </is>
      </c>
      <c r="H39">
        <f>S9</f>
        <v/>
      </c>
      <c r="I39">
        <f>S7+S9</f>
        <v/>
      </c>
      <c r="J39" t="n">
        <v>0</v>
      </c>
      <c r="K39" t="n">
        <v>0</v>
      </c>
      <c r="L39" t="n">
        <v>0</v>
      </c>
      <c r="M39" t="n">
        <v>0</v>
      </c>
      <c r="N39">
        <f>I39+J39+K39+L39+M39</f>
        <v/>
      </c>
      <c r="O39">
        <f>ROUNDDOWN(N39/5,0)</f>
        <v/>
      </c>
      <c r="P39">
        <f>MOD(N39,5)</f>
        <v/>
      </c>
    </row>
    <row r="40">
      <c r="A40" t="inlineStr">
        <is>
          <t>Sing</t>
        </is>
      </c>
      <c r="E40" t="inlineStr">
        <is>
          <t>CHA</t>
        </is>
      </c>
      <c r="F40">
        <f>S10</f>
        <v/>
      </c>
      <c r="G40" t="inlineStr">
        <is>
          <t>POW</t>
        </is>
      </c>
      <c r="H40">
        <f>S9</f>
        <v/>
      </c>
      <c r="I40">
        <f>S10+S9</f>
        <v/>
      </c>
      <c r="J40" t="n">
        <v>0</v>
      </c>
      <c r="K40" t="n">
        <v>0</v>
      </c>
      <c r="L40" t="n">
        <v>0</v>
      </c>
      <c r="M40" t="n">
        <v>0</v>
      </c>
      <c r="N40">
        <f>I40+J40+K40+L40+M40</f>
        <v/>
      </c>
      <c r="O40">
        <f>ROUNDDOWN(N40/5,0)</f>
        <v/>
      </c>
      <c r="P40">
        <f>MOD(N40,5)</f>
        <v/>
      </c>
    </row>
    <row r="41">
      <c r="A41" t="inlineStr">
        <is>
          <t>Stealth</t>
        </is>
      </c>
      <c r="E41" t="inlineStr">
        <is>
          <t>DEX</t>
        </is>
      </c>
      <c r="F41">
        <f>S7</f>
        <v/>
      </c>
      <c r="G41" t="inlineStr">
        <is>
          <t>INT</t>
        </is>
      </c>
      <c r="H41">
        <f>S8</f>
        <v/>
      </c>
      <c r="I41">
        <f>S7+S8</f>
        <v/>
      </c>
      <c r="J41" t="n">
        <v>0</v>
      </c>
      <c r="K41" t="n">
        <v>0</v>
      </c>
      <c r="L41" t="n">
        <v>0</v>
      </c>
      <c r="M41" t="n">
        <v>0</v>
      </c>
      <c r="N41">
        <f>I41+J41+K41+L41+M41</f>
        <v/>
      </c>
      <c r="O41">
        <f>ROUNDDOWN(N41/5,0)</f>
        <v/>
      </c>
      <c r="P41">
        <f>MOD(N41,5)</f>
        <v/>
      </c>
    </row>
    <row r="42">
      <c r="A42" t="inlineStr">
        <is>
          <t>Swim</t>
        </is>
      </c>
      <c r="E42" t="inlineStr">
        <is>
          <t>STR</t>
        </is>
      </c>
      <c r="F42">
        <f>S4</f>
        <v/>
      </c>
      <c r="G42" t="inlineStr">
        <is>
          <t>CON</t>
        </is>
      </c>
      <c r="H42">
        <f>S5</f>
        <v/>
      </c>
      <c r="I42">
        <f>S4+S5</f>
        <v/>
      </c>
      <c r="J42" t="n">
        <v>0</v>
      </c>
      <c r="K42" t="n">
        <v>0</v>
      </c>
      <c r="L42" t="n">
        <v>0</v>
      </c>
      <c r="M42" t="n">
        <v>0</v>
      </c>
      <c r="N42">
        <f>I42+J42+K42+L42+M42</f>
        <v/>
      </c>
      <c r="O42">
        <f>ROUNDDOWN(N42/5,0)</f>
        <v/>
      </c>
      <c r="P42">
        <f>MOD(N42,5)</f>
        <v/>
      </c>
    </row>
    <row r="43">
      <c r="A43" t="inlineStr">
        <is>
          <t>Unarmed</t>
        </is>
      </c>
      <c r="E43" t="inlineStr">
        <is>
          <t>STR</t>
        </is>
      </c>
      <c r="F43">
        <f>S4</f>
        <v/>
      </c>
      <c r="G43" t="inlineStr">
        <is>
          <t>DEX</t>
        </is>
      </c>
      <c r="H43">
        <f>S7</f>
        <v/>
      </c>
      <c r="I43">
        <f>S4+S7</f>
        <v/>
      </c>
      <c r="J43" t="n">
        <v>0</v>
      </c>
      <c r="K43" t="n">
        <v>0</v>
      </c>
      <c r="L43" t="n">
        <v>0</v>
      </c>
      <c r="M43" t="n">
        <v>0</v>
      </c>
      <c r="N43">
        <f>I43+J43+K43+L43+M43</f>
        <v/>
      </c>
      <c r="O43">
        <f>ROUNDDOWN(N43/5,0)</f>
        <v/>
      </c>
      <c r="P43">
        <f>MOD(N43,5)</f>
        <v/>
      </c>
    </row>
    <row r="44">
      <c r="A44" t="inlineStr">
        <is>
          <t>Willpower</t>
        </is>
      </c>
      <c r="E44" t="inlineStr">
        <is>
          <t>POW</t>
        </is>
      </c>
      <c r="F44">
        <f>S9</f>
        <v/>
      </c>
      <c r="G44" t="inlineStr">
        <is>
          <t>POW</t>
        </is>
      </c>
      <c r="H44">
        <f>S9</f>
        <v/>
      </c>
      <c r="I44">
        <f>S9*2</f>
        <v/>
      </c>
      <c r="J44" t="n">
        <v>0</v>
      </c>
      <c r="K44" t="n">
        <v>0</v>
      </c>
      <c r="L44" t="n">
        <v>0</v>
      </c>
      <c r="M44" t="n">
        <v>0</v>
      </c>
      <c r="N44">
        <f>I44+J44+K44+L44+M44</f>
        <v/>
      </c>
      <c r="O44">
        <f>ROUNDDOWN(N44/5,0)</f>
        <v/>
      </c>
      <c r="P44">
        <f>MOD(N44,5)</f>
        <v/>
      </c>
    </row>
    <row r="45">
      <c r="A45" t="inlineStr">
        <is>
          <t>Combat Style</t>
        </is>
      </c>
      <c r="E45" t="inlineStr">
        <is>
          <t>STR</t>
        </is>
      </c>
      <c r="F45">
        <f>S4</f>
        <v/>
      </c>
      <c r="G45" t="inlineStr">
        <is>
          <t>DEX</t>
        </is>
      </c>
      <c r="H45">
        <f>S7</f>
        <v/>
      </c>
      <c r="I45">
        <f>S4+S7</f>
        <v/>
      </c>
      <c r="J45" t="n">
        <v>0</v>
      </c>
      <c r="K45" t="n">
        <v>0</v>
      </c>
      <c r="L45" t="n">
        <v>0</v>
      </c>
      <c r="M45" t="n">
        <v>0</v>
      </c>
      <c r="N45">
        <f>I45+J45+K45+L45+M45</f>
        <v/>
      </c>
      <c r="O45">
        <f>ROUNDDOWN(N45/5,0)</f>
        <v/>
      </c>
      <c r="P45">
        <f>MOD(N45,5)</f>
        <v/>
      </c>
    </row>
    <row r="48">
      <c r="A48" s="6" t="inlineStr">
        <is>
          <t>PROFESSIONAL SKILLS</t>
        </is>
      </c>
    </row>
    <row r="49">
      <c r="A49" s="7" t="inlineStr">
        <is>
          <t>(Add your chosen professional skills below)</t>
        </is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>
        <v>0</v>
      </c>
      <c r="K50" s="8" t="n">
        <v>0</v>
      </c>
      <c r="L50" s="8" t="n">
        <v>0</v>
      </c>
      <c r="M50" s="8" t="n">
        <v>0</v>
      </c>
      <c r="N50" s="8">
        <f>I50+J50+K50+L50+M50</f>
        <v/>
      </c>
      <c r="O50" s="8">
        <f>ROUNDDOWN(N50/5,0)</f>
        <v/>
      </c>
      <c r="P50" s="8">
        <f>MOD(N50,5)</f>
        <v/>
      </c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>
        <v>0</v>
      </c>
      <c r="K51" s="8" t="n">
        <v>0</v>
      </c>
      <c r="L51" s="8" t="n">
        <v>0</v>
      </c>
      <c r="M51" s="8" t="n">
        <v>0</v>
      </c>
      <c r="N51" s="8">
        <f>I51+J51+K51+L51+M51</f>
        <v/>
      </c>
      <c r="O51" s="8">
        <f>ROUNDDOWN(N51/5,0)</f>
        <v/>
      </c>
      <c r="P51" s="8">
        <f>MOD(N51,5)</f>
        <v/>
      </c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>
        <v>0</v>
      </c>
      <c r="K52" s="8" t="n">
        <v>0</v>
      </c>
      <c r="L52" s="8" t="n">
        <v>0</v>
      </c>
      <c r="M52" s="8" t="n">
        <v>0</v>
      </c>
      <c r="N52" s="8">
        <f>I52+J52+K52+L52+M52</f>
        <v/>
      </c>
      <c r="O52" s="8">
        <f>ROUNDDOWN(N52/5,0)</f>
        <v/>
      </c>
      <c r="P52" s="8">
        <f>MOD(N52,5)</f>
        <v/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>
        <v>0</v>
      </c>
      <c r="K53" s="8" t="n">
        <v>0</v>
      </c>
      <c r="L53" s="8" t="n">
        <v>0</v>
      </c>
      <c r="M53" s="8" t="n">
        <v>0</v>
      </c>
      <c r="N53" s="8">
        <f>I53+J53+K53+L53+M53</f>
        <v/>
      </c>
      <c r="O53" s="8">
        <f>ROUNDDOWN(N53/5,0)</f>
        <v/>
      </c>
      <c r="P53" s="8">
        <f>MOD(N53,5)</f>
        <v/>
      </c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>
        <v>0</v>
      </c>
      <c r="K54" s="8" t="n">
        <v>0</v>
      </c>
      <c r="L54" s="8" t="n">
        <v>0</v>
      </c>
      <c r="M54" s="8" t="n">
        <v>0</v>
      </c>
      <c r="N54" s="8">
        <f>I54+J54+K54+L54+M54</f>
        <v/>
      </c>
      <c r="O54" s="8">
        <f>ROUNDDOWN(N54/5,0)</f>
        <v/>
      </c>
      <c r="P54" s="8">
        <f>MOD(N54,5)</f>
        <v/>
      </c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>
        <v>0</v>
      </c>
      <c r="K55" s="8" t="n">
        <v>0</v>
      </c>
      <c r="L55" s="8" t="n">
        <v>0</v>
      </c>
      <c r="M55" s="8" t="n">
        <v>0</v>
      </c>
      <c r="N55" s="8">
        <f>I55+J55+K55+L55+M55</f>
        <v/>
      </c>
      <c r="O55" s="8">
        <f>ROUNDDOWN(N55/5,0)</f>
        <v/>
      </c>
      <c r="P55" s="8">
        <f>MOD(N55,5)</f>
        <v/>
      </c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>
        <v>0</v>
      </c>
      <c r="K56" s="8" t="n">
        <v>0</v>
      </c>
      <c r="L56" s="8" t="n">
        <v>0</v>
      </c>
      <c r="M56" s="8" t="n">
        <v>0</v>
      </c>
      <c r="N56" s="8">
        <f>I56+J56+K56+L56+M56</f>
        <v/>
      </c>
      <c r="O56" s="8">
        <f>ROUNDDOWN(N56/5,0)</f>
        <v/>
      </c>
      <c r="P56" s="8">
        <f>MOD(N56,5)</f>
        <v/>
      </c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>
        <v>0</v>
      </c>
      <c r="K57" s="8" t="n">
        <v>0</v>
      </c>
      <c r="L57" s="8" t="n">
        <v>0</v>
      </c>
      <c r="M57" s="8" t="n">
        <v>0</v>
      </c>
      <c r="N57" s="8">
        <f>I57+J57+K57+L57+M57</f>
        <v/>
      </c>
      <c r="O57" s="8">
        <f>ROUNDDOWN(N57/5,0)</f>
        <v/>
      </c>
      <c r="P57" s="8">
        <f>MOD(N57,5)</f>
        <v/>
      </c>
    </row>
    <row r="60">
      <c r="A60" s="9" t="inlineStr">
        <is>
          <t>INSTRUCTIONS:</t>
        </is>
      </c>
    </row>
    <row r="61">
      <c r="A61" t="inlineStr">
        <is>
          <t>1. Fill in your characteristics (STR, CON, etc.) in column S</t>
        </is>
      </c>
    </row>
    <row r="62">
      <c r="A62" t="inlineStr">
        <is>
          <t>2. Mark Cultural skills: type 'x' in column B for skills from your cultural background</t>
        </is>
      </c>
    </row>
    <row r="63">
      <c r="A63" t="inlineStr">
        <is>
          <t>3. Mark Career skills: type 'x' in column C for skills from your chosen career</t>
        </is>
      </c>
    </row>
    <row r="64">
      <c r="A64" t="inlineStr">
        <is>
          <t>4. Mark Class skills: type 'x' in column D for skills from your character class</t>
        </is>
      </c>
    </row>
    <row r="65">
      <c r="A65" t="inlineStr">
        <is>
          <t>5. Add skill points in columns J (Cultural), K (Career), L (Class), M (Free)</t>
        </is>
      </c>
    </row>
    <row r="66">
      <c r="A66" t="inlineStr">
        <is>
          <t>6. For Professional skills: Add skill name in column A, characteristics in E &amp; G</t>
        </is>
      </c>
    </row>
    <row r="67">
      <c r="A67" t="inlineStr">
        <is>
          <t>7. Professional skill base formulas: Add in column I (e.g., =S4+S7 for STR+DEX)</t>
        </is>
      </c>
    </row>
    <row r="68">
      <c r="A68" t="inlineStr">
        <is>
          <t>8. d20 VALUE = skill ÷ 5 (rounded down), d20 BONUS = remainder</t>
        </is>
      </c>
    </row>
    <row r="69">
      <c r="A69" t="inlineStr">
        <is>
          <t>9. Point tracking and totals calculate automatically!</t>
        </is>
      </c>
    </row>
    <row r="70">
      <c r="A70" t="inlineStr">
        <is>
          <t>10. Yellow rows = Professional skills section</t>
        </is>
      </c>
    </row>
  </sheetData>
  <mergeCells count="1">
    <mergeCell ref="A1:P1"/>
  </mergeCells>
  <conditionalFormatting sqref="F16:F19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50" customWidth="1" min="3" max="3"/>
    <col width="12" customWidth="1" min="4" max="4"/>
    <col width="21" customWidth="1" min="5" max="5"/>
  </cols>
  <sheetData>
    <row r="1">
      <c r="A1" s="10" t="inlineStr">
        <is>
          <t>MYTHRAS d20 CLASSIC FANTASY REFERENCE</t>
        </is>
      </c>
    </row>
    <row r="2">
      <c r="A2" t="inlineStr"/>
    </row>
    <row r="3">
      <c r="A3" s="2" t="inlineStr">
        <is>
          <t>d20 CONVERSION SYSTEM</t>
        </is>
      </c>
    </row>
    <row r="4">
      <c r="A4" t="inlineStr">
        <is>
          <t>Mythras uses percentile dice (d100), d20 Classic Fantasy converts to d20</t>
        </is>
      </c>
    </row>
    <row r="5">
      <c r="A5" t="inlineStr">
        <is>
          <t>Formula: d20 Value = Skill ÷ 5 (rounded down)</t>
        </is>
      </c>
    </row>
    <row r="6">
      <c r="A6" t="inlineStr">
        <is>
          <t>Bonus: Remainder when dividing by 5</t>
        </is>
      </c>
    </row>
    <row r="7">
      <c r="A7" t="inlineStr">
        <is>
          <t>Example: Skill 43 → d20 Value 8, Bonus +3</t>
        </is>
      </c>
    </row>
    <row r="8">
      <c r="A8" t="inlineStr"/>
    </row>
    <row r="9">
      <c r="A9" s="2" t="inlineStr">
        <is>
          <t>SKILL CHARACTERISTIC COMBINATIONS</t>
        </is>
      </c>
    </row>
    <row r="10">
      <c r="A10" t="inlineStr">
        <is>
          <t>Skill</t>
        </is>
      </c>
      <c r="B10" t="inlineStr">
        <is>
          <t>Char 1</t>
        </is>
      </c>
      <c r="C10" t="inlineStr">
        <is>
          <t>Char 2</t>
        </is>
      </c>
      <c r="D10" t="inlineStr">
        <is>
          <t>Formula</t>
        </is>
      </c>
      <c r="E10" t="inlineStr">
        <is>
          <t>Notes</t>
        </is>
      </c>
    </row>
    <row r="11">
      <c r="A11" t="inlineStr">
        <is>
          <t>Athletics</t>
        </is>
      </c>
      <c r="B11" t="inlineStr">
        <is>
          <t>STR</t>
        </is>
      </c>
      <c r="C11" t="inlineStr">
        <is>
          <t>DEX</t>
        </is>
      </c>
      <c r="D11" t="inlineStr">
        <is>
          <t>STR+DEX</t>
        </is>
      </c>
      <c r="E11" t="inlineStr"/>
    </row>
    <row r="12">
      <c r="A12" t="inlineStr">
        <is>
          <t>Boating</t>
        </is>
      </c>
      <c r="B12" t="inlineStr">
        <is>
          <t>STR</t>
        </is>
      </c>
      <c r="C12" t="inlineStr">
        <is>
          <t>CON</t>
        </is>
      </c>
      <c r="D12" t="inlineStr">
        <is>
          <t>STR+CON</t>
        </is>
      </c>
      <c r="E12" t="inlineStr"/>
    </row>
    <row r="13">
      <c r="A13" t="inlineStr">
        <is>
          <t>Brawn</t>
        </is>
      </c>
      <c r="B13" t="inlineStr">
        <is>
          <t>STR</t>
        </is>
      </c>
      <c r="C13" t="inlineStr">
        <is>
          <t>SIZ</t>
        </is>
      </c>
      <c r="D13" t="inlineStr">
        <is>
          <t>STR+SIZ</t>
        </is>
      </c>
      <c r="E13" t="inlineStr"/>
    </row>
    <row r="14">
      <c r="A14" s="2" t="inlineStr">
        <is>
          <t>Conceal</t>
        </is>
      </c>
      <c r="B14" s="2" t="inlineStr">
        <is>
          <t>DEX</t>
        </is>
      </c>
      <c r="C14" s="2" t="inlineStr">
        <is>
          <t>POW</t>
        </is>
      </c>
      <c r="D14" s="2" t="inlineStr">
        <is>
          <t>DEX+POW</t>
        </is>
      </c>
      <c r="E14" s="2" t="inlineStr"/>
    </row>
    <row r="15">
      <c r="A15" t="inlineStr">
        <is>
          <t>Customs</t>
        </is>
      </c>
      <c r="B15" t="inlineStr">
        <is>
          <t>INT</t>
        </is>
      </c>
      <c r="C15" t="inlineStr"/>
      <c r="D15" t="inlineStr">
        <is>
          <t>INT*2+40</t>
        </is>
      </c>
      <c r="E15" t="inlineStr">
        <is>
          <t>Special calculation</t>
        </is>
      </c>
    </row>
    <row r="16">
      <c r="A16" t="inlineStr">
        <is>
          <t>Dance</t>
        </is>
      </c>
      <c r="B16" t="inlineStr">
        <is>
          <t>DEX</t>
        </is>
      </c>
      <c r="C16" t="inlineStr">
        <is>
          <t>CHA</t>
        </is>
      </c>
      <c r="D16" t="inlineStr">
        <is>
          <t>DEX+CHA</t>
        </is>
      </c>
      <c r="E16" t="inlineStr"/>
    </row>
    <row r="17">
      <c r="A17" t="inlineStr">
        <is>
          <t>Deceit</t>
        </is>
      </c>
      <c r="B17" t="inlineStr">
        <is>
          <t>INT</t>
        </is>
      </c>
      <c r="C17" t="inlineStr">
        <is>
          <t>CHA</t>
        </is>
      </c>
      <c r="D17" t="inlineStr">
        <is>
          <t>INT+CHA</t>
        </is>
      </c>
      <c r="E17" t="inlineStr"/>
    </row>
    <row r="18">
      <c r="A18" t="inlineStr">
        <is>
          <t>Drive</t>
        </is>
      </c>
      <c r="B18" t="inlineStr">
        <is>
          <t>DEX</t>
        </is>
      </c>
      <c r="C18" t="inlineStr">
        <is>
          <t>POW</t>
        </is>
      </c>
      <c r="D18" t="inlineStr">
        <is>
          <t>DEX+POW</t>
        </is>
      </c>
      <c r="E18" t="inlineStr"/>
    </row>
    <row r="19">
      <c r="A19" t="inlineStr">
        <is>
          <t>Endurance</t>
        </is>
      </c>
      <c r="B19" t="inlineStr">
        <is>
          <t>CON</t>
        </is>
      </c>
      <c r="C19" t="inlineStr">
        <is>
          <t>CON</t>
        </is>
      </c>
      <c r="D19" t="inlineStr">
        <is>
          <t>CON+CON</t>
        </is>
      </c>
      <c r="E19" t="inlineStr"/>
    </row>
    <row r="20">
      <c r="A20" t="inlineStr">
        <is>
          <t>Evade</t>
        </is>
      </c>
      <c r="B20" t="inlineStr">
        <is>
          <t>DEX</t>
        </is>
      </c>
      <c r="C20" t="inlineStr">
        <is>
          <t>DEX</t>
        </is>
      </c>
      <c r="D20" t="inlineStr">
        <is>
          <t>DEX+DEX</t>
        </is>
      </c>
      <c r="E20" t="inlineStr"/>
    </row>
    <row r="21">
      <c r="A21" t="inlineStr">
        <is>
          <t>First Aid</t>
        </is>
      </c>
      <c r="B21" t="inlineStr">
        <is>
          <t>INT</t>
        </is>
      </c>
      <c r="C21" t="inlineStr">
        <is>
          <t>DEX</t>
        </is>
      </c>
      <c r="D21" t="inlineStr">
        <is>
          <t>INT+DEX</t>
        </is>
      </c>
      <c r="E21" t="inlineStr"/>
    </row>
    <row r="22">
      <c r="A22" s="2" t="inlineStr">
        <is>
          <t>Influence</t>
        </is>
      </c>
      <c r="B22" s="2" t="inlineStr">
        <is>
          <t>CHA</t>
        </is>
      </c>
      <c r="C22" s="2" t="inlineStr">
        <is>
          <t>CHA</t>
        </is>
      </c>
      <c r="D22" s="2" t="inlineStr">
        <is>
          <t>CHA+CHA</t>
        </is>
      </c>
      <c r="E22" s="2" t="inlineStr"/>
    </row>
    <row r="23">
      <c r="A23" t="inlineStr">
        <is>
          <t>Insight</t>
        </is>
      </c>
      <c r="B23" t="inlineStr">
        <is>
          <t>INT</t>
        </is>
      </c>
      <c r="C23" t="inlineStr">
        <is>
          <t>POW</t>
        </is>
      </c>
      <c r="D23" t="inlineStr">
        <is>
          <t>INT+POW</t>
        </is>
      </c>
      <c r="E23" t="inlineStr"/>
    </row>
    <row r="24">
      <c r="A24" t="inlineStr">
        <is>
          <t>Locale</t>
        </is>
      </c>
      <c r="B24" t="inlineStr">
        <is>
          <t>INT</t>
        </is>
      </c>
      <c r="C24" t="inlineStr">
        <is>
          <t>INT</t>
        </is>
      </c>
      <c r="D24" t="inlineStr">
        <is>
          <t>INT+INT</t>
        </is>
      </c>
      <c r="E24" t="inlineStr"/>
    </row>
    <row r="25">
      <c r="A25" t="inlineStr">
        <is>
          <t>Native Tongue</t>
        </is>
      </c>
      <c r="B25" t="inlineStr">
        <is>
          <t>INT</t>
        </is>
      </c>
      <c r="C25" t="inlineStr">
        <is>
          <t>CHA</t>
        </is>
      </c>
      <c r="D25" t="inlineStr">
        <is>
          <t>INT+CHA+40</t>
        </is>
      </c>
      <c r="E25" t="inlineStr">
        <is>
          <t>Special calculation</t>
        </is>
      </c>
    </row>
    <row r="26">
      <c r="A26" t="inlineStr">
        <is>
          <t>Perception</t>
        </is>
      </c>
      <c r="B26" t="inlineStr">
        <is>
          <t>INT</t>
        </is>
      </c>
      <c r="C26" t="inlineStr">
        <is>
          <t>POW</t>
        </is>
      </c>
      <c r="D26" t="inlineStr">
        <is>
          <t>INT+POW</t>
        </is>
      </c>
      <c r="E26" t="inlineStr"/>
    </row>
    <row r="27">
      <c r="A27" t="inlineStr">
        <is>
          <t>Ride</t>
        </is>
      </c>
      <c r="B27" t="inlineStr">
        <is>
          <t>DEX</t>
        </is>
      </c>
      <c r="C27" t="inlineStr">
        <is>
          <t>POW</t>
        </is>
      </c>
      <c r="D27" t="inlineStr">
        <is>
          <t>DEX+POW</t>
        </is>
      </c>
      <c r="E27" t="inlineStr"/>
    </row>
    <row r="28">
      <c r="A28" s="2" t="inlineStr">
        <is>
          <t>Sing</t>
        </is>
      </c>
      <c r="B28" s="2" t="inlineStr">
        <is>
          <t>CHA</t>
        </is>
      </c>
      <c r="C28" s="2" t="inlineStr">
        <is>
          <t>POW</t>
        </is>
      </c>
      <c r="D28" s="2" t="inlineStr">
        <is>
          <t>CHA+POW</t>
        </is>
      </c>
      <c r="E28" s="2" t="inlineStr"/>
    </row>
    <row r="29">
      <c r="A29" t="inlineStr">
        <is>
          <t>Stealth</t>
        </is>
      </c>
      <c r="B29" t="inlineStr">
        <is>
          <t>DEX</t>
        </is>
      </c>
      <c r="C29" t="inlineStr">
        <is>
          <t>INT</t>
        </is>
      </c>
      <c r="D29" t="inlineStr">
        <is>
          <t>DEX+INT</t>
        </is>
      </c>
      <c r="E29" t="inlineStr"/>
    </row>
    <row r="30">
      <c r="A30" t="inlineStr">
        <is>
          <t>Swim</t>
        </is>
      </c>
      <c r="B30" t="inlineStr">
        <is>
          <t>STR</t>
        </is>
      </c>
      <c r="C30" t="inlineStr">
        <is>
          <t>CON</t>
        </is>
      </c>
      <c r="D30" t="inlineStr">
        <is>
          <t>STR+CON</t>
        </is>
      </c>
      <c r="E30" t="inlineStr"/>
    </row>
    <row r="31">
      <c r="A31" t="inlineStr">
        <is>
          <t>Unarmed</t>
        </is>
      </c>
      <c r="B31" t="inlineStr">
        <is>
          <t>STR</t>
        </is>
      </c>
      <c r="C31" t="inlineStr">
        <is>
          <t>DEX</t>
        </is>
      </c>
      <c r="D31" t="inlineStr">
        <is>
          <t>STR+DEX</t>
        </is>
      </c>
      <c r="E31" t="inlineStr"/>
    </row>
    <row r="32">
      <c r="A32" t="inlineStr">
        <is>
          <t>Willpower</t>
        </is>
      </c>
      <c r="B32" t="inlineStr">
        <is>
          <t>POW</t>
        </is>
      </c>
      <c r="C32" t="inlineStr">
        <is>
          <t>POW</t>
        </is>
      </c>
      <c r="D32" t="inlineStr">
        <is>
          <t>POW+POW</t>
        </is>
      </c>
      <c r="E32" t="inlineStr"/>
    </row>
    <row r="33">
      <c r="A33" t="inlineStr">
        <is>
          <t>Combat Style</t>
        </is>
      </c>
      <c r="B33" t="inlineStr">
        <is>
          <t>STR</t>
        </is>
      </c>
      <c r="C33" t="inlineStr">
        <is>
          <t>DEX</t>
        </is>
      </c>
      <c r="D33" t="inlineStr">
        <is>
          <t>STR+DEX</t>
        </is>
      </c>
      <c r="E33" t="inlineStr"/>
    </row>
    <row r="34">
      <c r="A34" s="2" t="inlineStr"/>
    </row>
    <row r="35">
      <c r="A35" t="inlineStr">
        <is>
          <t>POINT ALLOCATION PHASES</t>
        </is>
      </c>
    </row>
    <row r="36">
      <c r="A36" t="inlineStr">
        <is>
          <t>Phase</t>
        </is>
      </c>
      <c r="B36" t="inlineStr">
        <is>
          <t>Typical Points</t>
        </is>
      </c>
      <c r="C36" t="inlineStr">
        <is>
          <t>Used For</t>
        </is>
      </c>
    </row>
    <row r="37">
      <c r="A37" t="inlineStr">
        <is>
          <t>Cultural</t>
        </is>
      </c>
      <c r="B37" t="inlineStr">
        <is>
          <t>100</t>
        </is>
      </c>
      <c r="C37" t="inlineStr">
        <is>
          <t>Standard skills from cultural background</t>
        </is>
      </c>
    </row>
    <row r="38">
      <c r="A38" t="inlineStr">
        <is>
          <t>Career</t>
        </is>
      </c>
      <c r="B38" t="inlineStr">
        <is>
          <t>50-100</t>
        </is>
      </c>
      <c r="C38" t="inlineStr">
        <is>
          <t>Standard skills from chosen career</t>
        </is>
      </c>
    </row>
    <row r="39">
      <c r="A39" t="inlineStr">
        <is>
          <t>Class</t>
        </is>
      </c>
      <c r="B39" t="inlineStr">
        <is>
          <t>75</t>
        </is>
      </c>
      <c r="C39" t="inlineStr">
        <is>
          <t>Standard skills from character class (NEW for d20)</t>
        </is>
      </c>
    </row>
    <row r="40">
      <c r="A40" t="inlineStr">
        <is>
          <t>Free Points</t>
        </is>
      </c>
      <c r="B40" t="inlineStr">
        <is>
          <t>25-50</t>
        </is>
      </c>
      <c r="C40" t="inlineStr">
        <is>
          <t>Any standard skills + existing professional skills</t>
        </is>
      </c>
    </row>
    <row r="41">
      <c r="A41" t="inlineStr"/>
    </row>
    <row r="42">
      <c r="A42" t="inlineStr">
        <is>
          <t>PROFESSIONAL SKILLS</t>
        </is>
      </c>
    </row>
    <row r="43">
      <c r="A43" t="inlineStr">
        <is>
          <t>- Choose based on character concept</t>
        </is>
      </c>
    </row>
    <row r="44">
      <c r="A44" t="inlineStr">
        <is>
          <t>- Add skill names in column A of Professional Skills section</t>
        </is>
      </c>
    </row>
    <row r="45">
      <c r="A45" t="inlineStr">
        <is>
          <t>- Each uses two characteristics as base</t>
        </is>
      </c>
    </row>
    <row r="46">
      <c r="A46" t="inlineStr">
        <is>
          <t>- Can be improved with Career, Class, or Free points if already known</t>
        </is>
      </c>
    </row>
    <row r="47">
      <c r="A47" t="inlineStr"/>
    </row>
    <row r="48">
      <c r="A48" t="inlineStr">
        <is>
          <t>SKILL CATEGORIES</t>
        </is>
      </c>
    </row>
    <row r="49">
      <c r="A49" t="inlineStr">
        <is>
          <t>Mark with 'x' in Cultural column for cultural background skills</t>
        </is>
      </c>
    </row>
    <row r="50">
      <c r="A50" t="inlineStr">
        <is>
          <t>Mark with 'x' in Career column for career skills</t>
        </is>
      </c>
    </row>
    <row r="51">
      <c r="A51" t="inlineStr">
        <is>
          <t>Mark with 'x' in Class column for character class skills</t>
        </is>
      </c>
    </row>
    <row r="52">
      <c r="A52" t="inlineStr">
        <is>
          <t>Professional skills go in the yellow section at bottom</t>
        </is>
      </c>
    </row>
    <row r="53">
      <c r="A53" t="inlineStr"/>
    </row>
    <row r="54">
      <c r="A54" t="inlineStr">
        <is>
          <t>d20 USAGE</t>
        </is>
      </c>
    </row>
    <row r="55">
      <c r="A55" t="inlineStr">
        <is>
          <t>Roll d20 + Bonus ≤ d20 Value for success</t>
        </is>
      </c>
    </row>
    <row r="56">
      <c r="A56" t="inlineStr">
        <is>
          <t>Higher d20 Value = better chance of success</t>
        </is>
      </c>
    </row>
    <row r="57">
      <c r="A57" t="inlineStr">
        <is>
          <t>Bonus adds extra points when close to next 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2026-09-13T11:14:02Z</dcterms:created>
  <dcterms:modified xsi:type="dcterms:W3CDTF">2026-09-13T11:14:02Z</dcterms:modified>
</cp:coreProperties>
</file>